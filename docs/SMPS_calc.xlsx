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seth\Documents\Git\cc-led-driver\docs\"/>
    </mc:Choice>
  </mc:AlternateContent>
  <xr:revisionPtr revIDLastSave="0" documentId="13_ncr:1_{6B1F72F2-E8B0-4ADD-89D2-F19B12D7EF15}" xr6:coauthVersionLast="47" xr6:coauthVersionMax="47" xr10:uidLastSave="{00000000-0000-0000-0000-000000000000}"/>
  <bookViews>
    <workbookView xWindow="-120" yWindow="-120" windowWidth="38640" windowHeight="21120" xr2:uid="{D66E1EC0-9458-49F0-B9B5-31025FA3405A}"/>
  </bookViews>
  <sheets>
    <sheet name="Buck" sheetId="2" r:id="rId1"/>
    <sheet name="Boost" sheetId="1" r:id="rId2"/>
    <sheet name="SEPI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3" l="1"/>
  <c r="C15" i="3" s="1"/>
  <c r="C13" i="3"/>
  <c r="C12" i="3"/>
  <c r="C14" i="3"/>
  <c r="C17" i="3" l="1"/>
  <c r="B17" i="1" l="1"/>
  <c r="B10" i="1"/>
  <c r="B11" i="1" s="1"/>
  <c r="AC7" i="1"/>
  <c r="H31" i="2"/>
  <c r="B17" i="2"/>
  <c r="S10" i="2"/>
  <c r="L10" i="2"/>
  <c r="B10" i="2"/>
  <c r="P9" i="2" s="1"/>
  <c r="L9" i="2"/>
  <c r="X7" i="2"/>
  <c r="T15" i="2" s="1"/>
  <c r="L10" i="1" l="1"/>
  <c r="N7" i="1"/>
  <c r="B12" i="1"/>
  <c r="F10" i="1" s="1"/>
  <c r="B18" i="1"/>
  <c r="B13" i="1"/>
  <c r="E10" i="1"/>
  <c r="H9" i="1"/>
  <c r="L9" i="1"/>
  <c r="T16" i="2"/>
  <c r="B18" i="2"/>
  <c r="K32" i="2" s="1"/>
  <c r="S9" i="2"/>
  <c r="B11" i="2"/>
  <c r="E10" i="2"/>
  <c r="H9" i="2"/>
  <c r="I9" i="1" l="1"/>
  <c r="I10" i="1"/>
  <c r="F9" i="1"/>
  <c r="H36" i="1"/>
  <c r="K32" i="1"/>
  <c r="B19" i="1"/>
  <c r="B14" i="1"/>
  <c r="E31" i="2"/>
  <c r="B19" i="2"/>
  <c r="B13" i="2"/>
  <c r="B12" i="2"/>
  <c r="B20" i="2"/>
  <c r="B21" i="2" s="1"/>
  <c r="H32" i="2"/>
  <c r="K31" i="2"/>
  <c r="H32" i="1" l="1"/>
  <c r="K31" i="1"/>
  <c r="B20" i="1"/>
  <c r="B21" i="1" s="1"/>
  <c r="B23" i="2"/>
  <c r="B22" i="2"/>
  <c r="I32" i="2"/>
  <c r="L31" i="2"/>
  <c r="Q9" i="2"/>
  <c r="B14" i="2"/>
  <c r="I9" i="2"/>
  <c r="F10" i="2"/>
  <c r="T9" i="2"/>
  <c r="Q10" i="2"/>
  <c r="I10" i="2"/>
  <c r="F9" i="2"/>
  <c r="Q8" i="2"/>
  <c r="T10" i="2"/>
  <c r="T8" i="2"/>
  <c r="T11" i="2"/>
  <c r="I32" i="1" l="1"/>
  <c r="L31" i="1"/>
  <c r="B23" i="1"/>
  <c r="B22" i="1"/>
  <c r="L32" i="2"/>
  <c r="I31" i="2"/>
  <c r="I37" i="1" l="1"/>
  <c r="I36" i="1"/>
  <c r="L32" i="1"/>
  <c r="I31" i="1"/>
</calcChain>
</file>

<file path=xl/sharedStrings.xml><?xml version="1.0" encoding="utf-8"?>
<sst xmlns="http://schemas.openxmlformats.org/spreadsheetml/2006/main" count="103" uniqueCount="43">
  <si>
    <r>
      <t>F</t>
    </r>
    <r>
      <rPr>
        <vertAlign val="subscript"/>
        <sz val="11"/>
        <color theme="1"/>
        <rFont val="Aptos Narrow"/>
        <family val="2"/>
        <scheme val="minor"/>
      </rPr>
      <t>SW</t>
    </r>
    <r>
      <rPr>
        <sz val="11"/>
        <color theme="1"/>
        <rFont val="Aptos Narrow"/>
        <family val="2"/>
        <scheme val="minor"/>
      </rPr>
      <t>:</t>
    </r>
  </si>
  <si>
    <t>Efficiency:</t>
  </si>
  <si>
    <t>Duty Cycle:</t>
  </si>
  <si>
    <r>
      <t>ΔI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:</t>
    </r>
  </si>
  <si>
    <t>L:</t>
  </si>
  <si>
    <r>
      <t>I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: 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</si>
  <si>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 xml:space="preserve">: </t>
    </r>
  </si>
  <si>
    <r>
      <t>V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>: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</si>
  <si>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L, (pk)</t>
    </r>
    <r>
      <rPr>
        <sz val="11"/>
        <color theme="1"/>
        <rFont val="Aptos Narrow"/>
        <family val="2"/>
        <scheme val="minor"/>
      </rPr>
      <t>: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</si>
  <si>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L, (MIN)</t>
    </r>
    <r>
      <rPr>
        <sz val="11"/>
        <color theme="1"/>
        <rFont val="Aptos Narrow"/>
        <family val="2"/>
        <scheme val="minor"/>
      </rPr>
      <t>:</t>
    </r>
  </si>
  <si>
    <t>t</t>
  </si>
  <si>
    <t xml:space="preserve">I </t>
  </si>
  <si>
    <t>Ton</t>
  </si>
  <si>
    <t>Toff</t>
  </si>
  <si>
    <t xml:space="preserve">t </t>
  </si>
  <si>
    <t>I</t>
  </si>
  <si>
    <t>CCM</t>
  </si>
  <si>
    <t>DCM</t>
  </si>
  <si>
    <t>Iavg</t>
  </si>
  <si>
    <t>ton</t>
  </si>
  <si>
    <r>
      <t>Crossover DC</t>
    </r>
    <r>
      <rPr>
        <vertAlign val="subscript"/>
        <sz val="11"/>
        <color theme="1"/>
        <rFont val="Aptos Narrow"/>
        <family val="2"/>
        <scheme val="minor"/>
      </rPr>
      <t>CCM</t>
    </r>
    <r>
      <rPr>
        <sz val="11"/>
        <color theme="1"/>
        <rFont val="Aptos Narrow"/>
        <family val="2"/>
        <scheme val="minor"/>
      </rPr>
      <t>:</t>
    </r>
  </si>
  <si>
    <r>
      <t>DC</t>
    </r>
    <r>
      <rPr>
        <vertAlign val="subscript"/>
        <sz val="11"/>
        <color theme="1"/>
        <rFont val="Aptos Narrow"/>
        <family val="2"/>
        <scheme val="minor"/>
      </rPr>
      <t>I&gt;0</t>
    </r>
  </si>
  <si>
    <t>toff</t>
  </si>
  <si>
    <r>
      <t>DC</t>
    </r>
    <r>
      <rPr>
        <vertAlign val="subscript"/>
        <sz val="11"/>
        <color theme="1"/>
        <rFont val="Aptos Narrow"/>
        <family val="2"/>
        <scheme val="minor"/>
      </rPr>
      <t>SW</t>
    </r>
  </si>
  <si>
    <t>I=0</t>
  </si>
  <si>
    <r>
      <t>I</t>
    </r>
    <r>
      <rPr>
        <vertAlign val="subscript"/>
        <sz val="11"/>
        <color theme="1"/>
        <rFont val="Aptos Narrow"/>
        <family val="2"/>
        <scheme val="minor"/>
      </rPr>
      <t>L, RMS:</t>
    </r>
  </si>
  <si>
    <t>Cout</t>
  </si>
  <si>
    <t>Cout I</t>
  </si>
  <si>
    <t>Cin</t>
  </si>
  <si>
    <r>
      <t>I</t>
    </r>
    <r>
      <rPr>
        <vertAlign val="subscript"/>
        <sz val="11"/>
        <color theme="1"/>
        <rFont val="Aptos Narrow"/>
        <family val="2"/>
        <scheme val="minor"/>
      </rPr>
      <t>out, avg</t>
    </r>
    <r>
      <rPr>
        <sz val="11"/>
        <color theme="1"/>
        <rFont val="Aptos Narrow"/>
        <family val="2"/>
        <scheme val="minor"/>
      </rPr>
      <t xml:space="preserve">: 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</si>
  <si>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CIN, RMS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</si>
  <si>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CIN, (pk)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</si>
  <si>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CIN, AVG</t>
    </r>
    <r>
      <rPr>
        <sz val="11"/>
        <color theme="1"/>
        <rFont val="Aptos Narrow"/>
        <family val="2"/>
        <scheme val="minor"/>
      </rPr>
      <t>:</t>
    </r>
  </si>
  <si>
    <t>Cin Avg</t>
  </si>
  <si>
    <r>
      <t>I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>:</t>
    </r>
  </si>
  <si>
    <t>K:</t>
  </si>
  <si>
    <r>
      <t>P</t>
    </r>
    <r>
      <rPr>
        <vertAlign val="subscript"/>
        <sz val="11"/>
        <color theme="1"/>
        <rFont val="Aptos Narrow"/>
        <family val="2"/>
        <scheme val="minor"/>
      </rPr>
      <t>IN</t>
    </r>
    <r>
      <rPr>
        <sz val="11"/>
        <color theme="1"/>
        <rFont val="Aptos Narrow"/>
        <family val="2"/>
        <scheme val="minor"/>
      </rPr>
      <t>:</t>
    </r>
  </si>
  <si>
    <r>
      <t>P</t>
    </r>
    <r>
      <rPr>
        <vertAlign val="subscript"/>
        <sz val="11"/>
        <color theme="1"/>
        <rFont val="Aptos Narrow"/>
        <family val="2"/>
        <scheme val="minor"/>
      </rPr>
      <t>OUT</t>
    </r>
    <r>
      <rPr>
        <sz val="11"/>
        <color theme="1"/>
        <rFont val="Aptos Narrow"/>
        <family val="2"/>
        <scheme val="minor"/>
      </rPr>
      <t>: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</si>
  <si>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OUT,AVG</t>
    </r>
    <r>
      <rPr>
        <sz val="11"/>
        <color theme="1"/>
        <rFont val="Aptos Narrow"/>
        <family val="2"/>
        <scheme val="minor"/>
      </rPr>
      <t xml:space="preserve">: </t>
    </r>
  </si>
  <si>
    <r>
      <t>I</t>
    </r>
    <r>
      <rPr>
        <vertAlign val="subscript"/>
        <sz val="11"/>
        <color theme="1"/>
        <rFont val="Aptos Narrow"/>
        <family val="2"/>
        <scheme val="minor"/>
      </rPr>
      <t>IN,AVG</t>
    </r>
    <r>
      <rPr>
        <sz val="11"/>
        <color theme="1"/>
        <rFont val="Aptos Narrow"/>
        <family val="2"/>
        <scheme val="minor"/>
      </rPr>
      <t>:</t>
    </r>
  </si>
  <si>
    <t>L Type:</t>
  </si>
  <si>
    <t>M:</t>
  </si>
  <si>
    <r>
      <t>L</t>
    </r>
    <r>
      <rPr>
        <vertAlign val="subscript"/>
        <sz val="11"/>
        <color theme="1"/>
        <rFont val="Aptos Narrow"/>
        <family val="2"/>
        <scheme val="minor"/>
      </rPr>
      <t>SELF</t>
    </r>
    <r>
      <rPr>
        <sz val="11"/>
        <color theme="1"/>
        <rFont val="Aptos Narrow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</si>
</sst>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E+0"/>
    <numFmt numFmtId="165" formatCode="0.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right"/>
    </xf>
    <xf numFmtId="9" fontId="0" fillId="0" borderId="0" xfId="1" applyFon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48" fontId="0" fillId="0" borderId="0" xfId="0" applyNumberFormat="1" applyAlignment="1">
      <alignment horizontal="center"/>
    </xf>
    <xf numFmtId="48" fontId="0" fillId="0" borderId="0" xfId="0" applyNumberFormat="1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48" fontId="0" fillId="2" borderId="0" xfId="0" applyNumberForma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right"/>
    </xf>
    <xf numFmtId="48" fontId="0" fillId="3" borderId="0" xfId="0" applyNumberFormat="1" applyFill="1"/>
    <xf numFmtId="9" fontId="0" fillId="3" borderId="0" xfId="1" applyFont="1" applyFill="1"/>
    <xf numFmtId="9" fontId="0" fillId="3" borderId="0" xfId="0" applyNumberFormat="1" applyFill="1"/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 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Buck!$E$9:$E$10</c:f>
              <c:numCache>
                <c:formatCode>0%</c:formatCode>
                <c:ptCount val="2"/>
                <c:pt idx="0">
                  <c:v>0</c:v>
                </c:pt>
                <c:pt idx="1">
                  <c:v>0.55555555555555558</c:v>
                </c:pt>
              </c:numCache>
            </c:numRef>
          </c:xVal>
          <c:yVal>
            <c:numRef>
              <c:f>Buck!$F$9:$F$10</c:f>
              <c:numCache>
                <c:formatCode>##0.0E+0</c:formatCode>
                <c:ptCount val="2"/>
                <c:pt idx="0">
                  <c:v>2.1666666666666665</c:v>
                </c:pt>
                <c:pt idx="1">
                  <c:v>3.8333333333333335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1-45FE-9868-F7E6C90FE752}"/>
            </c:ext>
          </c:extLst>
        </c:ser>
        <c:ser>
          <c:idx val="1"/>
          <c:order val="1"/>
          <c:tx>
            <c:v>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Buck!$H$9:$H$10</c:f>
              <c:numCache>
                <c:formatCode>0%</c:formatCode>
                <c:ptCount val="2"/>
                <c:pt idx="0">
                  <c:v>0.55555555555555558</c:v>
                </c:pt>
                <c:pt idx="1">
                  <c:v>1</c:v>
                </c:pt>
              </c:numCache>
            </c:numRef>
          </c:xVal>
          <c:yVal>
            <c:numRef>
              <c:f>Buck!$I$9:$I$10</c:f>
              <c:numCache>
                <c:formatCode>##0.0E+0</c:formatCode>
                <c:ptCount val="2"/>
                <c:pt idx="0">
                  <c:v>3.8333333333333335</c:v>
                </c:pt>
                <c:pt idx="1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01-45FE-9868-F7E6C90FE752}"/>
            </c:ext>
          </c:extLst>
        </c:ser>
        <c:ser>
          <c:idx val="2"/>
          <c:order val="2"/>
          <c:tx>
            <c:v>IOUT,AVG</c:v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Buck!$K$9:$K$10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Buck!$L$9:$L$10</c:f>
              <c:numCache>
                <c:formatCode>##0.0E+0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01-45FE-9868-F7E6C90FE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67520"/>
        <c:axId val="1132569440"/>
      </c:scatterChart>
      <c:valAx>
        <c:axId val="1132567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9440"/>
        <c:crossesAt val="0"/>
        <c:crossBetween val="midCat"/>
        <c:majorUnit val="0.1"/>
        <c:minorUnit val="0.1"/>
      </c:valAx>
      <c:valAx>
        <c:axId val="1132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 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0.0E+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6878953545440964"/>
          <c:y val="0.1305623895788664"/>
          <c:w val="0.17580504875914901"/>
          <c:h val="0.2082344999030591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DCM 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Buck!$H$31:$H$32</c:f>
              <c:numCache>
                <c:formatCode>0%</c:formatCode>
                <c:ptCount val="2"/>
                <c:pt idx="0">
                  <c:v>0</c:v>
                </c:pt>
                <c:pt idx="1">
                  <c:v>1.0540925533894598</c:v>
                </c:pt>
              </c:numCache>
            </c:numRef>
          </c:xVal>
          <c:yVal>
            <c:numRef>
              <c:f>Buck!$I$31:$I$32</c:f>
              <c:numCache>
                <c:formatCode>##0.0E+0</c:formatCode>
                <c:ptCount val="2"/>
                <c:pt idx="0">
                  <c:v>0</c:v>
                </c:pt>
                <c:pt idx="1">
                  <c:v>3.1622776601683795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93-42C3-8D0F-FD87F913212C}"/>
            </c:ext>
          </c:extLst>
        </c:ser>
        <c:ser>
          <c:idx val="1"/>
          <c:order val="1"/>
          <c:tx>
            <c:v>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Buck!$K$31:$K$32</c:f>
              <c:numCache>
                <c:formatCode>0%</c:formatCode>
                <c:ptCount val="2"/>
                <c:pt idx="0">
                  <c:v>1.0540925533894598</c:v>
                </c:pt>
                <c:pt idx="1">
                  <c:v>1.8973665961010278</c:v>
                </c:pt>
              </c:numCache>
            </c:numRef>
          </c:xVal>
          <c:yVal>
            <c:numRef>
              <c:f>Buck!$L$31:$L$32</c:f>
              <c:numCache>
                <c:formatCode>##0.0E+0</c:formatCode>
                <c:ptCount val="2"/>
                <c:pt idx="0">
                  <c:v>3.1622776601683795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93-42C3-8D0F-FD87F913212C}"/>
            </c:ext>
          </c:extLst>
        </c:ser>
        <c:ser>
          <c:idx val="3"/>
          <c:order val="2"/>
          <c:tx>
            <c:v>I=0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Buck!$E$31:$E$32</c:f>
              <c:numCache>
                <c:formatCode>0%</c:formatCode>
                <c:ptCount val="2"/>
                <c:pt idx="0">
                  <c:v>1.8973665961010278</c:v>
                </c:pt>
                <c:pt idx="1">
                  <c:v>1</c:v>
                </c:pt>
              </c:numCache>
            </c:numRef>
          </c:xVal>
          <c:yVal>
            <c:numRef>
              <c:f>Buck!$F$31:$F$32</c:f>
              <c:numCache>
                <c:formatCode>##0.0E+0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93-42C3-8D0F-FD87F913212C}"/>
            </c:ext>
          </c:extLst>
        </c:ser>
        <c:ser>
          <c:idx val="2"/>
          <c:order val="3"/>
          <c:tx>
            <c:v>IOUT,AVG</c:v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Buck!$K$9:$K$10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Buck!$L$9:$L$10</c:f>
              <c:numCache>
                <c:formatCode>##0.0E+0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93-42C3-8D0F-FD87F913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67520"/>
        <c:axId val="1132569440"/>
      </c:scatterChart>
      <c:valAx>
        <c:axId val="1132567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9440"/>
        <c:crossesAt val="0"/>
        <c:crossBetween val="midCat"/>
        <c:majorUnit val="0.1"/>
        <c:minorUnit val="0.1"/>
      </c:valAx>
      <c:valAx>
        <c:axId val="1132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 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0.0E+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75180303918320879"/>
          <c:y val="0.16682105624667445"/>
          <c:w val="0.19221160461738399"/>
          <c:h val="0.228427933856153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 Capacitor</a:t>
            </a:r>
            <a:r>
              <a:rPr lang="en-US" baseline="0"/>
              <a:t> Current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ICOUT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Buck!$P$8:$P$10</c:f>
              <c:numCache>
                <c:formatCode>0%</c:formatCode>
                <c:ptCount val="3"/>
                <c:pt idx="0">
                  <c:v>0</c:v>
                </c:pt>
                <c:pt idx="1">
                  <c:v>0.55555555555555558</c:v>
                </c:pt>
                <c:pt idx="2">
                  <c:v>1</c:v>
                </c:pt>
              </c:numCache>
            </c:numRef>
          </c:xVal>
          <c:yVal>
            <c:numRef>
              <c:f>Buck!$Q$8:$Q$10</c:f>
              <c:numCache>
                <c:formatCode>##0.0E+0</c:formatCode>
                <c:ptCount val="3"/>
                <c:pt idx="0">
                  <c:v>0.83333333333333348</c:v>
                </c:pt>
                <c:pt idx="1">
                  <c:v>-0.83333333333333348</c:v>
                </c:pt>
                <c:pt idx="2">
                  <c:v>0.83333333333333348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E-43FF-8752-B43D54827DCF}"/>
            </c:ext>
          </c:extLst>
        </c:ser>
        <c:ser>
          <c:idx val="1"/>
          <c:order val="1"/>
          <c:tx>
            <c:v>ICIN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Buck!$S$8:$S$11</c:f>
              <c:numCache>
                <c:formatCode>0%</c:formatCode>
                <c:ptCount val="4"/>
                <c:pt idx="0">
                  <c:v>0</c:v>
                </c:pt>
                <c:pt idx="1">
                  <c:v>0.55555555555555558</c:v>
                </c:pt>
                <c:pt idx="2">
                  <c:v>0.25000000000000999</c:v>
                </c:pt>
                <c:pt idx="3">
                  <c:v>1</c:v>
                </c:pt>
              </c:numCache>
            </c:numRef>
          </c:xVal>
          <c:yVal>
            <c:numRef>
              <c:f>Buck!$T$8:$T$11</c:f>
              <c:numCache>
                <c:formatCode>##0.0E+0</c:formatCode>
                <c:ptCount val="4"/>
                <c:pt idx="0">
                  <c:v>-0.5</c:v>
                </c:pt>
                <c:pt idx="1">
                  <c:v>-2.166666666666667</c:v>
                </c:pt>
                <c:pt idx="2">
                  <c:v>-0.5</c:v>
                </c:pt>
                <c:pt idx="3">
                  <c:v>-0.5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9E-43FF-8752-B43D54827DCF}"/>
            </c:ext>
          </c:extLst>
        </c:ser>
        <c:ser>
          <c:idx val="2"/>
          <c:order val="2"/>
          <c:tx>
            <c:v>ICIN,AVG</c:v>
          </c:tx>
          <c:spPr>
            <a:ln w="19050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Buck!$S$15:$S$16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Buck!$T$15:$T$16</c:f>
              <c:numCache>
                <c:formatCode>##0.0E+0</c:formatCode>
                <c:ptCount val="2"/>
                <c:pt idx="0">
                  <c:v>1.6666666666666665</c:v>
                </c:pt>
                <c:pt idx="1">
                  <c:v>1.6666666666666665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9E-43FF-8752-B43D54827D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67520"/>
        <c:axId val="1132569440"/>
      </c:scatterChart>
      <c:valAx>
        <c:axId val="1132567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9440"/>
        <c:crossesAt val="0"/>
        <c:crossBetween val="midCat"/>
        <c:majorUnit val="0.1"/>
        <c:minorUnit val="0.1"/>
      </c:valAx>
      <c:valAx>
        <c:axId val="1132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 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0.0E+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51580172773002"/>
          <c:y val="0.16682105624667445"/>
          <c:w val="0.15417911785417066"/>
          <c:h val="0.1719757029639463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CCM 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Boost!$E$9:$E$10</c:f>
              <c:numCache>
                <c:formatCode>0%</c:formatCode>
                <c:ptCount val="2"/>
                <c:pt idx="0">
                  <c:v>0</c:v>
                </c:pt>
                <c:pt idx="1">
                  <c:v>0.86559999999999993</c:v>
                </c:pt>
              </c:numCache>
            </c:numRef>
          </c:xVal>
          <c:yVal>
            <c:numRef>
              <c:f>Boost!$F$9:$F$10</c:f>
              <c:numCache>
                <c:formatCode>##0.0E+0</c:formatCode>
                <c:ptCount val="2"/>
                <c:pt idx="0">
                  <c:v>-10.379759523809524</c:v>
                </c:pt>
                <c:pt idx="1">
                  <c:v>10.394640476190476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9-4594-B6B4-01BB4F8FFCD3}"/>
            </c:ext>
          </c:extLst>
        </c:ser>
        <c:ser>
          <c:idx val="1"/>
          <c:order val="1"/>
          <c:tx>
            <c:v>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Boost!$H$9:$H$10</c:f>
              <c:numCache>
                <c:formatCode>0%</c:formatCode>
                <c:ptCount val="2"/>
                <c:pt idx="0">
                  <c:v>0.86559999999999993</c:v>
                </c:pt>
                <c:pt idx="1">
                  <c:v>1</c:v>
                </c:pt>
              </c:numCache>
            </c:numRef>
          </c:xVal>
          <c:yVal>
            <c:numRef>
              <c:f>Boost!$I$9:$I$10</c:f>
              <c:numCache>
                <c:formatCode>##0.0E+0</c:formatCode>
                <c:ptCount val="2"/>
                <c:pt idx="0">
                  <c:v>10.394640476190476</c:v>
                </c:pt>
                <c:pt idx="1">
                  <c:v>-10.379759523809524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49-4594-B6B4-01BB4F8FFCD3}"/>
            </c:ext>
          </c:extLst>
        </c:ser>
        <c:ser>
          <c:idx val="2"/>
          <c:order val="2"/>
          <c:tx>
            <c:v>IAVG</c:v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Boost!$K$9:$K$10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Boost!$L$9:$L$10</c:f>
              <c:numCache>
                <c:formatCode>##0.0E+0</c:formatCode>
                <c:ptCount val="2"/>
                <c:pt idx="0">
                  <c:v>7.4404761904761901E-3</c:v>
                </c:pt>
                <c:pt idx="1">
                  <c:v>7.4404761904761901E-3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49-4594-B6B4-01BB4F8FF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67520"/>
        <c:axId val="1132569440"/>
      </c:scatterChart>
      <c:valAx>
        <c:axId val="1132567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Switching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9440"/>
        <c:crosses val="autoZero"/>
        <c:crossBetween val="midCat"/>
        <c:majorUnit val="0.1"/>
        <c:minorUnit val="0.1"/>
      </c:valAx>
      <c:valAx>
        <c:axId val="1132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 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0.0E+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515809914004656"/>
          <c:y val="0.13319350972008887"/>
          <c:w val="0.11943648507351215"/>
          <c:h val="0.173603522474734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DCM Inductor Current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On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Boost!$H$31:$H$32</c:f>
              <c:numCache>
                <c:formatCode>0%</c:formatCode>
                <c:ptCount val="2"/>
                <c:pt idx="0">
                  <c:v>0</c:v>
                </c:pt>
                <c:pt idx="1">
                  <c:v>2.3166923602549155E-2</c:v>
                </c:pt>
              </c:numCache>
            </c:numRef>
          </c:xVal>
          <c:yVal>
            <c:numRef>
              <c:f>Boost!$I$31:$I$32</c:f>
              <c:numCache>
                <c:formatCode>##0.0E+0</c:formatCode>
                <c:ptCount val="2"/>
                <c:pt idx="0">
                  <c:v>0</c:v>
                </c:pt>
                <c:pt idx="1">
                  <c:v>0.55600616646117973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E-472B-B98C-083EBA57A26A}"/>
            </c:ext>
          </c:extLst>
        </c:ser>
        <c:ser>
          <c:idx val="1"/>
          <c:order val="1"/>
          <c:tx>
            <c:v>Off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Boost!$K$31:$K$32</c:f>
              <c:numCache>
                <c:formatCode>0%</c:formatCode>
                <c:ptCount val="2"/>
                <c:pt idx="0">
                  <c:v>2.3166923602549155E-2</c:v>
                </c:pt>
                <c:pt idx="1">
                  <c:v>2.6764006010338674E-2</c:v>
                </c:pt>
              </c:numCache>
            </c:numRef>
          </c:xVal>
          <c:yVal>
            <c:numRef>
              <c:f>Boost!$L$31:$L$32</c:f>
              <c:numCache>
                <c:formatCode>##0.0E+0</c:formatCode>
                <c:ptCount val="2"/>
                <c:pt idx="0">
                  <c:v>0.55600616646117973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9E-472B-B98C-083EBA57A26A}"/>
            </c:ext>
          </c:extLst>
        </c:ser>
        <c:ser>
          <c:idx val="3"/>
          <c:order val="2"/>
          <c:tx>
            <c:v>I=0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Boost!$H$36:$H$37</c:f>
              <c:numCache>
                <c:formatCode>0%</c:formatCode>
                <c:ptCount val="2"/>
                <c:pt idx="0">
                  <c:v>2.6764006010338674E-2</c:v>
                </c:pt>
                <c:pt idx="1">
                  <c:v>1</c:v>
                </c:pt>
              </c:numCache>
            </c:numRef>
          </c:xVal>
          <c:yVal>
            <c:numRef>
              <c:f>Boost!$I$36:$I$37</c:f>
              <c:numCache>
                <c:formatCode>##0.0E+0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9E-472B-B98C-083EBA57A26A}"/>
            </c:ext>
          </c:extLst>
        </c:ser>
        <c:ser>
          <c:idx val="2"/>
          <c:order val="3"/>
          <c:tx>
            <c:v>IAVG</c:v>
          </c:tx>
          <c:spPr>
            <a:ln w="1905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Boost!$K$9:$K$10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Boost!$L$9:$L$10</c:f>
              <c:numCache>
                <c:formatCode>##0.0E+0</c:formatCode>
                <c:ptCount val="2"/>
                <c:pt idx="0">
                  <c:v>7.4404761904761901E-3</c:v>
                </c:pt>
                <c:pt idx="1">
                  <c:v>7.4404761904761901E-3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9E-472B-B98C-083EBA57A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567520"/>
        <c:axId val="1132569440"/>
      </c:scatterChart>
      <c:valAx>
        <c:axId val="113256752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of Switching Cycle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9440"/>
        <c:crossesAt val="0"/>
        <c:crossBetween val="midCat"/>
        <c:majorUnit val="0.1"/>
        <c:minorUnit val="0.1"/>
      </c:valAx>
      <c:valAx>
        <c:axId val="11325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 rrent</a:t>
                </a:r>
                <a:r>
                  <a:rPr lang="en-US" baseline="0"/>
                  <a:t> (A)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#0.0E+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567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251580172773002"/>
          <c:y val="0.16682105624667445"/>
          <c:w val="0.11885669631101937"/>
          <c:h val="0.228427933856153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0</xdr:row>
      <xdr:rowOff>185737</xdr:rowOff>
    </xdr:from>
    <xdr:to>
      <xdr:col>12</xdr:col>
      <xdr:colOff>361949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DB8105-B74A-4196-A372-805B052CD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600075</xdr:colOff>
      <xdr:row>19</xdr:row>
      <xdr:rowOff>228599</xdr:rowOff>
    </xdr:from>
    <xdr:to>
      <xdr:col>12</xdr:col>
      <xdr:colOff>390525</xdr:colOff>
      <xdr:row>39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ED7F0-4B5B-49DF-BF55-CB2272D87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95250</xdr:colOff>
      <xdr:row>19</xdr:row>
      <xdr:rowOff>95250</xdr:rowOff>
    </xdr:from>
    <xdr:to>
      <xdr:col>27</xdr:col>
      <xdr:colOff>466725</xdr:colOff>
      <xdr:row>38</xdr:row>
      <xdr:rowOff>61913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7E9372-77D3-4FB2-ABF0-6F8FE9CB2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0</xdr:row>
      <xdr:rowOff>185737</xdr:rowOff>
    </xdr:from>
    <xdr:to>
      <xdr:col>12</xdr:col>
      <xdr:colOff>390524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B0791A-C15E-2F36-186C-840032622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228599</xdr:rowOff>
    </xdr:from>
    <xdr:to>
      <xdr:col>12</xdr:col>
      <xdr:colOff>400050</xdr:colOff>
      <xdr:row>39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178555-A589-41AA-96A4-27FF775F7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342C-E675-48C2-9A61-47013AC8B11A}">
  <dimension ref="A2:AA47"/>
  <sheetViews>
    <sheetView tabSelected="1" zoomScaleNormal="100" workbookViewId="0">
      <selection activeCell="B8" sqref="B8"/>
    </sheetView>
  </sheetViews>
  <sheetFormatPr defaultRowHeight="15" x14ac:dyDescent="0.25"/>
  <cols>
    <col min="1" max="1" width="17.7109375" style="1" customWidth="1"/>
    <col min="2" max="2" width="18.140625" style="3" customWidth="1"/>
  </cols>
  <sheetData>
    <row r="2" spans="1:27" ht="18" x14ac:dyDescent="0.35">
      <c r="A2" s="1" t="s">
        <v>7</v>
      </c>
      <c r="B2" s="5">
        <v>24</v>
      </c>
    </row>
    <row r="3" spans="1:27" ht="18" x14ac:dyDescent="0.35">
      <c r="A3" s="1" t="s">
        <v>6</v>
      </c>
      <c r="B3" s="5">
        <v>12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ht="15" customHeight="1" x14ac:dyDescent="0.35">
      <c r="A4" s="1" t="s">
        <v>29</v>
      </c>
      <c r="B4" s="5">
        <v>3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ht="15" customHeight="1" x14ac:dyDescent="0.35">
      <c r="A5" s="1" t="s">
        <v>0</v>
      </c>
      <c r="B5" s="5">
        <v>400000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x14ac:dyDescent="0.25">
      <c r="A6" s="1" t="s">
        <v>4</v>
      </c>
      <c r="B6" s="5">
        <v>1.0000000000000001E-5</v>
      </c>
      <c r="O6" s="12"/>
      <c r="P6" s="12" t="s">
        <v>26</v>
      </c>
      <c r="Q6" s="12"/>
      <c r="R6" s="12"/>
      <c r="S6" s="12" t="s">
        <v>28</v>
      </c>
      <c r="T6" s="12"/>
      <c r="U6" s="12"/>
      <c r="V6" s="12"/>
      <c r="W6" s="12"/>
      <c r="X6" s="12"/>
      <c r="Y6" s="12"/>
      <c r="Z6" s="12"/>
      <c r="AA6" s="12"/>
    </row>
    <row r="7" spans="1:27" ht="18" x14ac:dyDescent="0.35">
      <c r="A7" s="1" t="s">
        <v>1</v>
      </c>
      <c r="B7" s="4">
        <v>0.9</v>
      </c>
      <c r="E7" s="18" t="s">
        <v>12</v>
      </c>
      <c r="F7" s="18"/>
      <c r="H7" s="18" t="s">
        <v>13</v>
      </c>
      <c r="I7" s="18"/>
      <c r="K7" s="18" t="s">
        <v>18</v>
      </c>
      <c r="L7" s="18"/>
      <c r="O7" s="12"/>
      <c r="P7" s="12" t="s">
        <v>10</v>
      </c>
      <c r="Q7" s="12" t="s">
        <v>15</v>
      </c>
      <c r="R7" s="12"/>
      <c r="S7" s="12" t="s">
        <v>10</v>
      </c>
      <c r="T7" s="12" t="s">
        <v>15</v>
      </c>
      <c r="U7" s="12"/>
      <c r="V7" s="12"/>
      <c r="W7" s="13" t="s">
        <v>32</v>
      </c>
      <c r="X7" s="14">
        <f>(B3*B4)/(B2*B7)</f>
        <v>1.6666666666666665</v>
      </c>
      <c r="Y7" s="12"/>
      <c r="Z7" s="12"/>
      <c r="AA7" s="12"/>
    </row>
    <row r="8" spans="1:27" ht="18" x14ac:dyDescent="0.35">
      <c r="E8" s="3" t="s">
        <v>10</v>
      </c>
      <c r="F8" s="3" t="s">
        <v>11</v>
      </c>
      <c r="H8" s="3" t="s">
        <v>14</v>
      </c>
      <c r="I8" s="3" t="s">
        <v>15</v>
      </c>
      <c r="K8" s="3" t="s">
        <v>10</v>
      </c>
      <c r="L8" s="3" t="s">
        <v>15</v>
      </c>
      <c r="O8" s="12"/>
      <c r="P8" s="15">
        <v>0</v>
      </c>
      <c r="Q8" s="14">
        <f>B4-B13</f>
        <v>0.83333333333333348</v>
      </c>
      <c r="R8" s="12"/>
      <c r="S8" s="15">
        <v>0</v>
      </c>
      <c r="T8" s="14">
        <f>X7-B13</f>
        <v>-0.5</v>
      </c>
      <c r="U8" s="12"/>
      <c r="V8" s="12"/>
      <c r="W8" s="12" t="s">
        <v>30</v>
      </c>
      <c r="X8" s="12"/>
      <c r="Y8" s="12"/>
      <c r="Z8" s="12"/>
      <c r="AA8" s="12"/>
    </row>
    <row r="9" spans="1:27" ht="18" x14ac:dyDescent="0.35">
      <c r="A9" s="18" t="s">
        <v>16</v>
      </c>
      <c r="B9" s="18"/>
      <c r="E9" s="4">
        <v>0</v>
      </c>
      <c r="F9" s="5">
        <f>B13</f>
        <v>2.1666666666666665</v>
      </c>
      <c r="H9" s="2">
        <f>B10</f>
        <v>0.55555555555555558</v>
      </c>
      <c r="I9" s="6">
        <f>B12</f>
        <v>3.8333333333333335</v>
      </c>
      <c r="K9" s="2">
        <v>0</v>
      </c>
      <c r="L9" s="6">
        <f>B4</f>
        <v>3</v>
      </c>
      <c r="O9" s="12"/>
      <c r="P9" s="15">
        <f>B10</f>
        <v>0.55555555555555558</v>
      </c>
      <c r="Q9" s="14">
        <f>B4-B12</f>
        <v>-0.83333333333333348</v>
      </c>
      <c r="R9" s="12"/>
      <c r="S9" s="15">
        <f>B10</f>
        <v>0.55555555555555558</v>
      </c>
      <c r="T9" s="14">
        <f>X7-B12</f>
        <v>-2.166666666666667</v>
      </c>
      <c r="U9" s="12"/>
      <c r="V9" s="12"/>
      <c r="W9" s="12" t="s">
        <v>31</v>
      </c>
      <c r="X9" s="12"/>
      <c r="Y9" s="12"/>
      <c r="Z9" s="12"/>
      <c r="AA9" s="12"/>
    </row>
    <row r="10" spans="1:27" x14ac:dyDescent="0.25">
      <c r="A10" s="1" t="s">
        <v>2</v>
      </c>
      <c r="B10" s="11">
        <f>(B3/B2)*(1/B7)</f>
        <v>0.55555555555555558</v>
      </c>
      <c r="E10" s="4">
        <f>B10</f>
        <v>0.55555555555555558</v>
      </c>
      <c r="F10" s="5">
        <f>B12</f>
        <v>3.8333333333333335</v>
      </c>
      <c r="H10" s="2">
        <v>1</v>
      </c>
      <c r="I10" s="6">
        <f>B13</f>
        <v>2.1666666666666665</v>
      </c>
      <c r="K10" s="2">
        <v>1</v>
      </c>
      <c r="L10" s="6">
        <f>B4</f>
        <v>3</v>
      </c>
      <c r="O10" s="12"/>
      <c r="P10" s="15">
        <v>1</v>
      </c>
      <c r="Q10" s="14">
        <f>B4-B13</f>
        <v>0.83333333333333348</v>
      </c>
      <c r="R10" s="12"/>
      <c r="S10" s="15">
        <f>25%+0.000000000001%</f>
        <v>0.25000000000000999</v>
      </c>
      <c r="T10" s="14">
        <f>X7-B13</f>
        <v>-0.5</v>
      </c>
      <c r="U10" s="12"/>
      <c r="V10" s="12"/>
      <c r="W10" s="12"/>
      <c r="X10" s="12"/>
      <c r="Y10" s="12"/>
      <c r="Z10" s="12"/>
      <c r="AA10" s="12"/>
    </row>
    <row r="11" spans="1:27" ht="18" x14ac:dyDescent="0.35">
      <c r="A11" s="1" t="s">
        <v>3</v>
      </c>
      <c r="B11" s="5">
        <f>((B2-B3)*B10)/(B6*B5)</f>
        <v>1.6666666666666667</v>
      </c>
      <c r="O11" s="12"/>
      <c r="P11" s="12"/>
      <c r="Q11" s="12"/>
      <c r="R11" s="12"/>
      <c r="S11" s="16">
        <v>1</v>
      </c>
      <c r="T11" s="14">
        <f>X7-B13</f>
        <v>-0.5</v>
      </c>
      <c r="U11" s="12"/>
      <c r="V11" s="12"/>
      <c r="W11" s="12"/>
      <c r="X11" s="12"/>
      <c r="Y11" s="12"/>
      <c r="Z11" s="12"/>
      <c r="AA11" s="12"/>
    </row>
    <row r="12" spans="1:27" ht="15" customHeight="1" x14ac:dyDescent="0.35">
      <c r="A12" s="1" t="s">
        <v>8</v>
      </c>
      <c r="B12" s="9">
        <f>B4+B11/2</f>
        <v>3.8333333333333335</v>
      </c>
      <c r="O12" s="12"/>
      <c r="P12" s="12" t="s">
        <v>27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18" x14ac:dyDescent="0.35">
      <c r="A13" s="1" t="s">
        <v>9</v>
      </c>
      <c r="B13" s="5">
        <f>B4-B11/2</f>
        <v>2.1666666666666665</v>
      </c>
      <c r="O13" s="12"/>
      <c r="P13" s="12"/>
      <c r="Q13" s="12"/>
      <c r="R13" s="12"/>
      <c r="S13" s="12" t="s">
        <v>33</v>
      </c>
      <c r="T13" s="12"/>
      <c r="U13" s="12"/>
      <c r="V13" s="12"/>
      <c r="W13" s="12"/>
      <c r="X13" s="12"/>
      <c r="Y13" s="12"/>
      <c r="Z13" s="12"/>
      <c r="AA13" s="12"/>
    </row>
    <row r="14" spans="1:27" ht="18" x14ac:dyDescent="0.35">
      <c r="A14" s="1" t="s">
        <v>25</v>
      </c>
      <c r="B14" s="9">
        <f>SQRT((B12^2+B13^2+B12*B13)/3)</f>
        <v>3.0383353141945149</v>
      </c>
      <c r="O14" s="12"/>
      <c r="P14" s="12"/>
      <c r="Q14" s="12"/>
      <c r="R14" s="12"/>
      <c r="S14" s="12" t="s">
        <v>10</v>
      </c>
      <c r="T14" s="12" t="s">
        <v>15</v>
      </c>
      <c r="U14" s="12"/>
      <c r="V14" s="12"/>
      <c r="W14" s="12"/>
      <c r="X14" s="12"/>
      <c r="Y14" s="12"/>
      <c r="Z14" s="12"/>
      <c r="AA14" s="12"/>
    </row>
    <row r="15" spans="1:27" x14ac:dyDescent="0.25">
      <c r="O15" s="12"/>
      <c r="P15" s="12"/>
      <c r="Q15" s="12"/>
      <c r="R15" s="12"/>
      <c r="S15" s="15">
        <v>0</v>
      </c>
      <c r="T15" s="14">
        <f>X7</f>
        <v>1.6666666666666665</v>
      </c>
      <c r="U15" s="12"/>
      <c r="V15" s="12"/>
      <c r="W15" s="12"/>
      <c r="X15" s="12"/>
      <c r="Y15" s="12"/>
      <c r="Z15" s="12"/>
      <c r="AA15" s="12"/>
    </row>
    <row r="16" spans="1:27" x14ac:dyDescent="0.25">
      <c r="A16" s="18" t="s">
        <v>17</v>
      </c>
      <c r="B16" s="18"/>
      <c r="O16" s="12"/>
      <c r="P16" s="12"/>
      <c r="Q16" s="12"/>
      <c r="R16" s="12"/>
      <c r="S16" s="15">
        <v>1</v>
      </c>
      <c r="T16" s="14">
        <f>X7</f>
        <v>1.6666666666666665</v>
      </c>
      <c r="U16" s="12"/>
      <c r="V16" s="12"/>
      <c r="W16" s="12"/>
      <c r="X16" s="12"/>
      <c r="Y16" s="12"/>
      <c r="Z16" s="12"/>
      <c r="AA16" s="12"/>
    </row>
    <row r="17" spans="1:27" ht="18" x14ac:dyDescent="0.35">
      <c r="A17" s="1" t="s">
        <v>20</v>
      </c>
      <c r="B17" s="4">
        <f>(2*B4*B6*B5)/(B2-B3)</f>
        <v>2.0000000000000004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18" x14ac:dyDescent="0.35">
      <c r="A18" s="1" t="s">
        <v>21</v>
      </c>
      <c r="B18" s="4">
        <f>(SQRT((2*B4*B6*(1/B5))/((B2-B3)*(B10)))/(1/B5))</f>
        <v>1.8973665961010278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18" x14ac:dyDescent="0.35">
      <c r="A19" s="1" t="s">
        <v>23</v>
      </c>
      <c r="B19" s="4">
        <f>B18*B10</f>
        <v>1.0540925533894598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18" x14ac:dyDescent="0.35">
      <c r="A20" s="1" t="s">
        <v>3</v>
      </c>
      <c r="B20" s="5">
        <f>((B2-B3)*B19)/(B6*B5)</f>
        <v>3.1622776601683795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8" x14ac:dyDescent="0.35">
      <c r="A21" s="1" t="s">
        <v>8</v>
      </c>
      <c r="B21" s="10">
        <f>B20</f>
        <v>3.1622776601683795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18" x14ac:dyDescent="0.35">
      <c r="A22" s="1" t="s">
        <v>9</v>
      </c>
      <c r="B22" s="5">
        <f>B21-B20</f>
        <v>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18" x14ac:dyDescent="0.35">
      <c r="A23" s="1" t="s">
        <v>25</v>
      </c>
      <c r="B23" s="10">
        <f>B21*SQRT(B18/3)</f>
        <v>2.514866859365871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x14ac:dyDescent="0.25"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x14ac:dyDescent="0.25"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x14ac:dyDescent="0.25"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x14ac:dyDescent="0.25"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x14ac:dyDescent="0.25">
      <c r="E29" s="18" t="s">
        <v>24</v>
      </c>
      <c r="F29" s="18"/>
      <c r="H29" s="18" t="s">
        <v>19</v>
      </c>
      <c r="I29" s="18"/>
      <c r="J29" s="4"/>
      <c r="K29" s="18" t="s">
        <v>22</v>
      </c>
      <c r="L29" s="18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27" x14ac:dyDescent="0.25">
      <c r="E30" s="3" t="s">
        <v>10</v>
      </c>
      <c r="F30" s="3" t="s">
        <v>15</v>
      </c>
      <c r="H30" s="3" t="s">
        <v>10</v>
      </c>
      <c r="I30" s="3" t="s">
        <v>15</v>
      </c>
      <c r="J30" s="3"/>
      <c r="K30" s="3" t="s">
        <v>10</v>
      </c>
      <c r="L30" s="3" t="s">
        <v>15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27" x14ac:dyDescent="0.25">
      <c r="E31" s="4">
        <f>B18</f>
        <v>1.8973665961010278</v>
      </c>
      <c r="F31" s="5">
        <v>0</v>
      </c>
      <c r="H31" s="4">
        <f>0</f>
        <v>0</v>
      </c>
      <c r="I31" s="5">
        <f>B22</f>
        <v>0</v>
      </c>
      <c r="J31" s="3"/>
      <c r="K31" s="7">
        <f>B19</f>
        <v>1.0540925533894598</v>
      </c>
      <c r="L31" s="5">
        <f>B21</f>
        <v>3.1622776601683795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27" x14ac:dyDescent="0.25">
      <c r="E32" s="4">
        <v>1</v>
      </c>
      <c r="F32" s="5">
        <v>0</v>
      </c>
      <c r="H32" s="4">
        <f>B19</f>
        <v>1.0540925533894598</v>
      </c>
      <c r="I32" s="5">
        <f>B21</f>
        <v>3.1622776601683795</v>
      </c>
      <c r="J32" s="3"/>
      <c r="K32" s="7">
        <f>B18</f>
        <v>1.8973665961010278</v>
      </c>
      <c r="L32" s="5">
        <f>B22</f>
        <v>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spans="8:27" x14ac:dyDescent="0.25">
      <c r="H33" s="3"/>
      <c r="I33" s="3"/>
      <c r="J33" s="3"/>
      <c r="K33" s="3"/>
      <c r="L33" s="3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spans="8:27" x14ac:dyDescent="0.25">
      <c r="J34" s="3"/>
      <c r="K34" s="3"/>
      <c r="L34" s="3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spans="8:27" x14ac:dyDescent="0.25">
      <c r="J35" s="3"/>
      <c r="K35" s="3"/>
      <c r="L35" s="3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spans="8:27" x14ac:dyDescent="0.25">
      <c r="J36" s="3"/>
      <c r="K36" s="3"/>
      <c r="L36" s="3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spans="8:27" x14ac:dyDescent="0.25">
      <c r="J37" s="3"/>
      <c r="K37" s="3"/>
      <c r="L37" s="3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spans="8:27" x14ac:dyDescent="0.25">
      <c r="H38" s="3"/>
      <c r="I38" s="3"/>
      <c r="J38" s="3"/>
      <c r="K38" s="3"/>
      <c r="L38" s="3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spans="8:27" x14ac:dyDescent="0.25"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spans="8:27" x14ac:dyDescent="0.25"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spans="8:27" x14ac:dyDescent="0.25"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spans="8:27" x14ac:dyDescent="0.25"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spans="8:27" x14ac:dyDescent="0.25"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7" spans="8:27" x14ac:dyDescent="0.25">
      <c r="N47">
        <v>0.13100000000000001</v>
      </c>
      <c r="O47">
        <v>138</v>
      </c>
    </row>
  </sheetData>
  <mergeCells count="8">
    <mergeCell ref="E7:F7"/>
    <mergeCell ref="H7:I7"/>
    <mergeCell ref="K7:L7"/>
    <mergeCell ref="E29:F29"/>
    <mergeCell ref="A9:B9"/>
    <mergeCell ref="A16:B16"/>
    <mergeCell ref="H29:I29"/>
    <mergeCell ref="K29:L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0B97-9710-46D1-834D-07C352F385A6}">
  <dimension ref="A2:AC38"/>
  <sheetViews>
    <sheetView zoomScaleNormal="100" workbookViewId="0">
      <selection activeCell="Q13" sqref="P12:Q13"/>
    </sheetView>
  </sheetViews>
  <sheetFormatPr defaultRowHeight="15" x14ac:dyDescent="0.25"/>
  <cols>
    <col min="1" max="1" width="17.7109375" style="1" customWidth="1"/>
    <col min="2" max="2" width="18.140625" style="3" customWidth="1"/>
  </cols>
  <sheetData>
    <row r="2" spans="1:29" ht="18" x14ac:dyDescent="0.35">
      <c r="A2" s="1" t="s">
        <v>7</v>
      </c>
      <c r="B2" s="5">
        <v>24</v>
      </c>
    </row>
    <row r="3" spans="1:29" ht="18" x14ac:dyDescent="0.35">
      <c r="A3" s="1" t="s">
        <v>6</v>
      </c>
      <c r="B3" s="5">
        <v>100</v>
      </c>
    </row>
    <row r="4" spans="1:29" ht="15" customHeight="1" x14ac:dyDescent="0.35">
      <c r="A4" s="1" t="s">
        <v>5</v>
      </c>
      <c r="B4" s="5">
        <v>1E-3</v>
      </c>
    </row>
    <row r="5" spans="1:29" ht="15" customHeight="1" x14ac:dyDescent="0.35">
      <c r="A5" s="1" t="s">
        <v>0</v>
      </c>
      <c r="B5" s="5">
        <v>100000</v>
      </c>
    </row>
    <row r="6" spans="1:29" x14ac:dyDescent="0.25">
      <c r="A6" s="1" t="s">
        <v>4</v>
      </c>
      <c r="B6" s="5">
        <v>1.0000000000000001E-5</v>
      </c>
    </row>
    <row r="7" spans="1:29" ht="18" x14ac:dyDescent="0.35">
      <c r="A7" s="1" t="s">
        <v>1</v>
      </c>
      <c r="B7" s="4">
        <v>0.56000000000000005</v>
      </c>
      <c r="E7" t="s">
        <v>12</v>
      </c>
      <c r="H7" t="s">
        <v>13</v>
      </c>
      <c r="K7" t="s">
        <v>18</v>
      </c>
      <c r="N7" s="6">
        <f>AC7</f>
        <v>7.4404761904761901E-3</v>
      </c>
      <c r="AB7" s="1" t="s">
        <v>34</v>
      </c>
      <c r="AC7" s="6">
        <f>(B3*B4)/(B2*B7)</f>
        <v>7.4404761904761901E-3</v>
      </c>
    </row>
    <row r="8" spans="1:29" x14ac:dyDescent="0.25">
      <c r="E8" s="3" t="s">
        <v>10</v>
      </c>
      <c r="F8" s="3" t="s">
        <v>11</v>
      </c>
      <c r="H8" s="3" t="s">
        <v>14</v>
      </c>
      <c r="I8" s="3" t="s">
        <v>15</v>
      </c>
      <c r="K8" s="3" t="s">
        <v>10</v>
      </c>
      <c r="L8" s="3" t="s">
        <v>15</v>
      </c>
    </row>
    <row r="9" spans="1:29" x14ac:dyDescent="0.25">
      <c r="A9" s="18" t="s">
        <v>16</v>
      </c>
      <c r="B9" s="18"/>
      <c r="E9" s="4">
        <v>0</v>
      </c>
      <c r="F9" s="5">
        <f>B13</f>
        <v>-10.379759523809524</v>
      </c>
      <c r="H9" s="2">
        <f>B10</f>
        <v>0.86559999999999993</v>
      </c>
      <c r="I9" s="6">
        <f>B12</f>
        <v>10.394640476190476</v>
      </c>
      <c r="K9" s="2">
        <v>0</v>
      </c>
      <c r="L9" s="6">
        <f>AC7</f>
        <v>7.4404761904761901E-3</v>
      </c>
    </row>
    <row r="10" spans="1:29" x14ac:dyDescent="0.25">
      <c r="A10" s="1" t="s">
        <v>2</v>
      </c>
      <c r="B10" s="4">
        <f>1-(B2*B7)/B3</f>
        <v>0.86559999999999993</v>
      </c>
      <c r="E10" s="4">
        <f>B10</f>
        <v>0.86559999999999993</v>
      </c>
      <c r="F10" s="5">
        <f>B12</f>
        <v>10.394640476190476</v>
      </c>
      <c r="H10" s="2">
        <v>1</v>
      </c>
      <c r="I10" s="6">
        <f>B13</f>
        <v>-10.379759523809524</v>
      </c>
      <c r="K10" s="2">
        <v>1</v>
      </c>
      <c r="L10" s="6">
        <f>AC7</f>
        <v>7.4404761904761901E-3</v>
      </c>
    </row>
    <row r="11" spans="1:29" ht="18" x14ac:dyDescent="0.35">
      <c r="A11" s="1" t="s">
        <v>3</v>
      </c>
      <c r="B11" s="5">
        <f>(B2*B10)/(B6*B5)</f>
        <v>20.7744</v>
      </c>
    </row>
    <row r="12" spans="1:29" ht="15" customHeight="1" x14ac:dyDescent="0.35">
      <c r="A12" s="1" t="s">
        <v>8</v>
      </c>
      <c r="B12" s="9">
        <f>B11/2+AC7</f>
        <v>10.394640476190476</v>
      </c>
    </row>
    <row r="13" spans="1:29" ht="18" x14ac:dyDescent="0.35">
      <c r="A13" s="1" t="s">
        <v>9</v>
      </c>
      <c r="B13" s="8">
        <f>AC7-B11/2</f>
        <v>-10.379759523809524</v>
      </c>
    </row>
    <row r="14" spans="1:29" ht="18" x14ac:dyDescent="0.35">
      <c r="A14" s="1" t="s">
        <v>25</v>
      </c>
      <c r="B14" s="9">
        <f>SQRT(((B12)^2+(B13)^2+(B12*B13))/3)</f>
        <v>5.9970573317824751</v>
      </c>
    </row>
    <row r="16" spans="1:29" x14ac:dyDescent="0.25">
      <c r="A16" s="18" t="s">
        <v>17</v>
      </c>
      <c r="B16" s="18"/>
    </row>
    <row r="17" spans="1:12" ht="18" x14ac:dyDescent="0.35">
      <c r="A17" s="1" t="s">
        <v>20</v>
      </c>
      <c r="B17" s="4">
        <f>(2*B4*B3*B6*B5)/(B2^2*B7)</f>
        <v>6.2003968253968251E-4</v>
      </c>
    </row>
    <row r="18" spans="1:12" ht="18" x14ac:dyDescent="0.35">
      <c r="A18" s="1" t="s">
        <v>21</v>
      </c>
      <c r="B18" s="17">
        <f>(SQRT((AC7*2*B6)/(B5*B2*B10))/(1/B5))</f>
        <v>2.6764006010338674E-2</v>
      </c>
    </row>
    <row r="19" spans="1:12" ht="18" x14ac:dyDescent="0.35">
      <c r="A19" s="1" t="s">
        <v>23</v>
      </c>
      <c r="B19" s="17">
        <f>B18*B10</f>
        <v>2.3166923602549155E-2</v>
      </c>
    </row>
    <row r="20" spans="1:12" ht="18" x14ac:dyDescent="0.35">
      <c r="A20" s="1" t="s">
        <v>3</v>
      </c>
      <c r="B20" s="5">
        <f>(B2*B19)/(B6*B5)</f>
        <v>0.55600616646117973</v>
      </c>
    </row>
    <row r="21" spans="1:12" ht="18" x14ac:dyDescent="0.35">
      <c r="A21" s="1" t="s">
        <v>8</v>
      </c>
      <c r="B21" s="9">
        <f>B20</f>
        <v>0.55600616646117973</v>
      </c>
    </row>
    <row r="22" spans="1:12" ht="18" x14ac:dyDescent="0.35">
      <c r="A22" s="1" t="s">
        <v>9</v>
      </c>
      <c r="B22" s="5">
        <f>B21-B20</f>
        <v>0</v>
      </c>
    </row>
    <row r="23" spans="1:12" ht="18" x14ac:dyDescent="0.35">
      <c r="A23" s="1" t="s">
        <v>25</v>
      </c>
      <c r="B23" s="9">
        <f>B21*SQRT(B18/3)</f>
        <v>5.251635074471156E-2</v>
      </c>
    </row>
    <row r="29" spans="1:12" x14ac:dyDescent="0.25">
      <c r="H29" s="18" t="s">
        <v>19</v>
      </c>
      <c r="I29" s="18"/>
      <c r="J29" s="4"/>
      <c r="K29" s="18" t="s">
        <v>22</v>
      </c>
      <c r="L29" s="18"/>
    </row>
    <row r="30" spans="1:12" x14ac:dyDescent="0.25">
      <c r="H30" s="3" t="s">
        <v>10</v>
      </c>
      <c r="I30" s="3" t="s">
        <v>15</v>
      </c>
      <c r="J30" s="3"/>
      <c r="K30" s="3" t="s">
        <v>10</v>
      </c>
      <c r="L30" s="3" t="s">
        <v>15</v>
      </c>
    </row>
    <row r="31" spans="1:12" x14ac:dyDescent="0.25">
      <c r="H31" s="4">
        <v>0</v>
      </c>
      <c r="I31" s="5">
        <f>B22</f>
        <v>0</v>
      </c>
      <c r="J31" s="3"/>
      <c r="K31" s="7">
        <f>B19</f>
        <v>2.3166923602549155E-2</v>
      </c>
      <c r="L31" s="5">
        <f>B21</f>
        <v>0.55600616646117973</v>
      </c>
    </row>
    <row r="32" spans="1:12" x14ac:dyDescent="0.25">
      <c r="H32" s="4">
        <f>B19</f>
        <v>2.3166923602549155E-2</v>
      </c>
      <c r="I32" s="5">
        <f>B21</f>
        <v>0.55600616646117973</v>
      </c>
      <c r="J32" s="3"/>
      <c r="K32" s="7">
        <f>B18</f>
        <v>2.6764006010338674E-2</v>
      </c>
      <c r="L32" s="5">
        <f>B22</f>
        <v>0</v>
      </c>
    </row>
    <row r="33" spans="8:12" x14ac:dyDescent="0.25">
      <c r="H33" s="3"/>
      <c r="I33" s="3"/>
      <c r="J33" s="3"/>
      <c r="K33" s="3"/>
      <c r="L33" s="3"/>
    </row>
    <row r="34" spans="8:12" x14ac:dyDescent="0.25">
      <c r="H34" s="18" t="s">
        <v>24</v>
      </c>
      <c r="I34" s="18"/>
      <c r="J34" s="3"/>
      <c r="K34" s="3"/>
      <c r="L34" s="3"/>
    </row>
    <row r="35" spans="8:12" x14ac:dyDescent="0.25">
      <c r="H35" s="3" t="s">
        <v>10</v>
      </c>
      <c r="I35" s="3" t="s">
        <v>15</v>
      </c>
      <c r="J35" s="3"/>
      <c r="K35" s="3"/>
      <c r="L35" s="3"/>
    </row>
    <row r="36" spans="8:12" x14ac:dyDescent="0.25">
      <c r="H36" s="4">
        <f>B18</f>
        <v>2.6764006010338674E-2</v>
      </c>
      <c r="I36" s="5">
        <f>B22</f>
        <v>0</v>
      </c>
      <c r="J36" s="3"/>
      <c r="K36" s="3"/>
      <c r="L36" s="3"/>
    </row>
    <row r="37" spans="8:12" x14ac:dyDescent="0.25">
      <c r="H37" s="4">
        <v>1</v>
      </c>
      <c r="I37" s="5">
        <f>B22</f>
        <v>0</v>
      </c>
      <c r="J37" s="3"/>
      <c r="K37" s="3"/>
      <c r="L37" s="3"/>
    </row>
    <row r="38" spans="8:12" x14ac:dyDescent="0.25">
      <c r="H38" s="3"/>
      <c r="I38" s="3"/>
      <c r="J38" s="3"/>
      <c r="K38" s="3"/>
      <c r="L38" s="3"/>
    </row>
  </sheetData>
  <mergeCells count="5">
    <mergeCell ref="H34:I34"/>
    <mergeCell ref="A9:B9"/>
    <mergeCell ref="A16:B16"/>
    <mergeCell ref="H29:I29"/>
    <mergeCell ref="K29:L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60D6-FC3B-4C87-A68F-92C56AD4D8D1}">
  <dimension ref="B3:C17"/>
  <sheetViews>
    <sheetView workbookViewId="0">
      <selection activeCell="I24" sqref="I24"/>
    </sheetView>
  </sheetViews>
  <sheetFormatPr defaultRowHeight="15" x14ac:dyDescent="0.25"/>
  <cols>
    <col min="2" max="2" width="9.85546875" bestFit="1" customWidth="1"/>
    <col min="3" max="3" width="10.5703125" bestFit="1" customWidth="1"/>
  </cols>
  <sheetData>
    <row r="3" spans="2:3" ht="18" x14ac:dyDescent="0.35">
      <c r="B3" s="1" t="s">
        <v>7</v>
      </c>
      <c r="C3" s="3">
        <v>5</v>
      </c>
    </row>
    <row r="4" spans="2:3" ht="18" x14ac:dyDescent="0.35">
      <c r="B4" s="1" t="s">
        <v>6</v>
      </c>
      <c r="C4" s="3">
        <v>10</v>
      </c>
    </row>
    <row r="5" spans="2:3" ht="18" x14ac:dyDescent="0.35">
      <c r="B5" s="1" t="s">
        <v>38</v>
      </c>
      <c r="C5" s="5">
        <v>1</v>
      </c>
    </row>
    <row r="6" spans="2:3" ht="18" x14ac:dyDescent="0.35">
      <c r="B6" s="1" t="s">
        <v>0</v>
      </c>
      <c r="C6" s="5"/>
    </row>
    <row r="7" spans="2:3" x14ac:dyDescent="0.25">
      <c r="B7" s="1" t="s">
        <v>4</v>
      </c>
      <c r="C7" s="5">
        <v>1.0000000000000001E-5</v>
      </c>
    </row>
    <row r="8" spans="2:3" x14ac:dyDescent="0.25">
      <c r="B8" s="1" t="s">
        <v>35</v>
      </c>
      <c r="C8" s="3">
        <v>0.9</v>
      </c>
    </row>
    <row r="9" spans="2:3" x14ac:dyDescent="0.25">
      <c r="B9" s="1" t="s">
        <v>1</v>
      </c>
      <c r="C9" s="4">
        <v>0.9</v>
      </c>
    </row>
    <row r="10" spans="2:3" x14ac:dyDescent="0.25">
      <c r="C10" s="3"/>
    </row>
    <row r="11" spans="2:3" x14ac:dyDescent="0.25">
      <c r="C11" s="3"/>
    </row>
    <row r="12" spans="2:3" ht="18" x14ac:dyDescent="0.35">
      <c r="B12" s="1" t="s">
        <v>36</v>
      </c>
      <c r="C12" s="5">
        <f>C14/C9</f>
        <v>11.111111111111111</v>
      </c>
    </row>
    <row r="13" spans="2:3" ht="18" x14ac:dyDescent="0.35">
      <c r="B13" s="1" t="s">
        <v>39</v>
      </c>
      <c r="C13" s="5">
        <f>C12/C3</f>
        <v>2.2222222222222223</v>
      </c>
    </row>
    <row r="14" spans="2:3" ht="18" x14ac:dyDescent="0.35">
      <c r="B14" s="1" t="s">
        <v>37</v>
      </c>
      <c r="C14" s="5">
        <f>C4*C5</f>
        <v>10</v>
      </c>
    </row>
    <row r="15" spans="2:3" x14ac:dyDescent="0.25">
      <c r="B15" s="1" t="s">
        <v>40</v>
      </c>
      <c r="C15" s="3" t="str">
        <f>IF(ABS(C16)&lt;1E-20, "Uncoupled", "Coupled")</f>
        <v>Coupled</v>
      </c>
    </row>
    <row r="16" spans="2:3" x14ac:dyDescent="0.25">
      <c r="B16" s="1" t="s">
        <v>41</v>
      </c>
      <c r="C16" s="5">
        <f>C8*C7</f>
        <v>9.0000000000000002E-6</v>
      </c>
    </row>
    <row r="17" spans="2:3" ht="18" x14ac:dyDescent="0.35">
      <c r="B17" s="1" t="s">
        <v>42</v>
      </c>
      <c r="C17" s="5">
        <f>C7-C16</f>
        <v>1.0000000000000006E-6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Buck</vt:lpstr>
      <vt:lpstr>Boost</vt:lpstr>
      <vt:lpstr>SEPIC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Sievers</dc:creator>
  <cp:lastModifiedBy>Sievers, Seth (S&amp;T-Student)</cp:lastModifiedBy>
  <dcterms:created xsi:type="dcterms:W3CDTF">2025-08-17T00:11:41Z</dcterms:created>
  <dcterms:modified xsi:type="dcterms:W3CDTF">2025-10-22T03:35:35Z</dcterms:modified>
</cp:coreProperties>
</file>