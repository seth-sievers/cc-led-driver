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eth\Documents\Git\cc-led-driver\docs\"/>
    </mc:Choice>
  </mc:AlternateContent>
  <xr:revisionPtr revIDLastSave="0" documentId="13_ncr:1_{F610E8EF-40D2-439D-ADD3-5B22CA062FFD}" xr6:coauthVersionLast="47" xr6:coauthVersionMax="47" xr10:uidLastSave="{00000000-0000-0000-0000-000000000000}"/>
  <bookViews>
    <workbookView xWindow="-28920" yWindow="3900" windowWidth="29040" windowHeight="15720" xr2:uid="{6B5B4F6F-707E-4377-9B4E-93B307B40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K12" i="1"/>
  <c r="K9" i="1"/>
  <c r="K10" i="1"/>
  <c r="K11" i="1"/>
  <c r="L11" i="1" s="1"/>
  <c r="L9" i="1"/>
  <c r="L10" i="1"/>
  <c r="L12" i="1"/>
  <c r="L8" i="1"/>
  <c r="K8" i="1"/>
  <c r="G12" i="1"/>
  <c r="I12" i="1" s="1"/>
  <c r="J12" i="1" s="1"/>
  <c r="H12" i="1"/>
  <c r="E11" i="1"/>
  <c r="F11" i="1"/>
  <c r="G11" i="1"/>
  <c r="I11" i="1" s="1"/>
  <c r="J11" i="1" s="1"/>
  <c r="H11" i="1"/>
  <c r="E10" i="1"/>
  <c r="F10" i="1" s="1"/>
  <c r="G10" i="1"/>
  <c r="I10" i="1" s="1"/>
  <c r="J10" i="1" s="1"/>
  <c r="H10" i="1"/>
  <c r="H8" i="1"/>
  <c r="H9" i="1"/>
  <c r="E9" i="1"/>
  <c r="F9" i="1" s="1"/>
  <c r="G9" i="1"/>
  <c r="I9" i="1" s="1"/>
  <c r="J9" i="1" s="1"/>
  <c r="E8" i="1"/>
  <c r="F8" i="1" s="1"/>
  <c r="G8" i="1"/>
  <c r="I8" i="1" s="1"/>
  <c r="J8" i="1" s="1"/>
</calcChain>
</file>

<file path=xl/sharedStrings.xml><?xml version="1.0" encoding="utf-8"?>
<sst xmlns="http://schemas.openxmlformats.org/spreadsheetml/2006/main" count="18" uniqueCount="18">
  <si>
    <t xml:space="preserve">quick efficiency test across loads </t>
  </si>
  <si>
    <t>Rshunt:</t>
  </si>
  <si>
    <t>LoadR:</t>
  </si>
  <si>
    <t>Load RMS</t>
  </si>
  <si>
    <t>Rshunt V</t>
  </si>
  <si>
    <t>Eff</t>
  </si>
  <si>
    <r>
      <t>I</t>
    </r>
    <r>
      <rPr>
        <b/>
        <vertAlign val="subscript"/>
        <sz val="11"/>
        <color theme="1"/>
        <rFont val="Aptos Narrow"/>
        <family val="2"/>
        <scheme val="minor"/>
      </rPr>
      <t>IN</t>
    </r>
  </si>
  <si>
    <r>
      <t>I</t>
    </r>
    <r>
      <rPr>
        <b/>
        <vertAlign val="subscript"/>
        <sz val="11"/>
        <color theme="1"/>
        <rFont val="Aptos Narrow"/>
        <family val="2"/>
        <scheme val="minor"/>
      </rPr>
      <t>OUT</t>
    </r>
  </si>
  <si>
    <r>
      <t>V</t>
    </r>
    <r>
      <rPr>
        <b/>
        <vertAlign val="subscript"/>
        <sz val="11"/>
        <color theme="1"/>
        <rFont val="Aptos Narrow"/>
        <family val="2"/>
        <scheme val="minor"/>
      </rPr>
      <t>IN</t>
    </r>
  </si>
  <si>
    <t>Rsense:</t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</si>
  <si>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LED</t>
    </r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</si>
  <si>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IN</t>
    </r>
  </si>
  <si>
    <r>
      <t>V</t>
    </r>
    <r>
      <rPr>
        <b/>
        <vertAlign val="subscript"/>
        <sz val="11"/>
        <color theme="1"/>
        <rFont val="Aptos Narrow"/>
        <family val="2"/>
        <scheme val="minor"/>
      </rPr>
      <t>SENSE</t>
    </r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</si>
  <si>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SENSE</t>
    </r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</si>
  <si>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OUT</t>
    </r>
  </si>
  <si>
    <t>Measured again with HP3478A measuring input current and Fluke 110 Plus measuring shunt voltage and Vin/ Vout</t>
  </si>
  <si>
    <t>23.3Vin, 11.82Vout @ 1.06A = 93.8%</t>
  </si>
  <si>
    <t>23Vin, 12.48Vout @ 3.07A = 94.7%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</si>
</sst>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E+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48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8" fontId="2" fillId="0" borderId="0" xfId="0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0987-F5D4-4C35-999C-902E898DFDD4}">
  <dimension ref="A1:L24"/>
  <sheetViews>
    <sheetView tabSelected="1" workbookViewId="0">
      <selection activeCell="B20" sqref="B20"/>
    </sheetView>
  </sheetViews>
  <sheetFormatPr defaultRowHeight="15" x14ac:dyDescent="0.25"/>
  <cols>
    <col min="2" max="2" width="10.85546875" customWidth="1"/>
    <col min="3" max="5" width="11.42578125" customWidth="1"/>
    <col min="6" max="7" width="12" customWidth="1"/>
    <col min="8" max="11" width="11.5703125" customWidth="1"/>
  </cols>
  <sheetData>
    <row r="1" spans="1:12" x14ac:dyDescent="0.25">
      <c r="A1" t="s">
        <v>0</v>
      </c>
    </row>
    <row r="3" spans="1:12" x14ac:dyDescent="0.25">
      <c r="A3" t="s">
        <v>1</v>
      </c>
      <c r="B3">
        <v>0.95</v>
      </c>
    </row>
    <row r="4" spans="1:12" x14ac:dyDescent="0.25">
      <c r="A4" t="s">
        <v>2</v>
      </c>
      <c r="B4">
        <v>4</v>
      </c>
    </row>
    <row r="5" spans="1:12" x14ac:dyDescent="0.25">
      <c r="A5" t="s">
        <v>9</v>
      </c>
      <c r="B5">
        <v>0.1</v>
      </c>
    </row>
    <row r="7" spans="1:12" ht="18" x14ac:dyDescent="0.35">
      <c r="B7" s="2" t="s">
        <v>4</v>
      </c>
      <c r="C7" s="2" t="s">
        <v>3</v>
      </c>
      <c r="D7" s="2" t="s">
        <v>8</v>
      </c>
      <c r="E7" s="2" t="s">
        <v>6</v>
      </c>
      <c r="F7" s="2" t="s">
        <v>11</v>
      </c>
      <c r="G7" s="2" t="s">
        <v>7</v>
      </c>
      <c r="H7" s="2" t="s">
        <v>10</v>
      </c>
      <c r="I7" s="2" t="s">
        <v>12</v>
      </c>
      <c r="J7" s="2" t="s">
        <v>13</v>
      </c>
      <c r="K7" s="2" t="s">
        <v>14</v>
      </c>
      <c r="L7" s="2" t="s">
        <v>5</v>
      </c>
    </row>
    <row r="8" spans="1:12" x14ac:dyDescent="0.25">
      <c r="B8" s="5">
        <v>0.13400000000000001</v>
      </c>
      <c r="C8" s="5">
        <v>3.4</v>
      </c>
      <c r="D8" s="4">
        <v>25</v>
      </c>
      <c r="E8" s="4">
        <f>B8/$B$3</f>
        <v>0.14105263157894737</v>
      </c>
      <c r="F8" s="4">
        <f>(D8-B8)*E8</f>
        <v>3.5074147368421054</v>
      </c>
      <c r="G8" s="4">
        <f>C8/$B$4</f>
        <v>0.85</v>
      </c>
      <c r="H8" s="4">
        <f>(C8^2)/$B$4</f>
        <v>2.8899999999999997</v>
      </c>
      <c r="I8" s="4">
        <f>G8*$B$5</f>
        <v>8.5000000000000006E-2</v>
      </c>
      <c r="J8" s="4">
        <f>I8*G8</f>
        <v>7.2250000000000009E-2</v>
      </c>
      <c r="K8" s="4">
        <f>G8*(C8+I8)</f>
        <v>2.9622499999999996</v>
      </c>
      <c r="L8" s="3">
        <f>K8/F8</f>
        <v>0.84456792887488863</v>
      </c>
    </row>
    <row r="9" spans="1:12" x14ac:dyDescent="0.25">
      <c r="B9" s="5">
        <v>0.28899999999999998</v>
      </c>
      <c r="C9" s="5">
        <v>5.07</v>
      </c>
      <c r="D9" s="4">
        <v>25</v>
      </c>
      <c r="E9" s="4">
        <f>B9/$B$3</f>
        <v>0.30421052631578949</v>
      </c>
      <c r="F9" s="4">
        <f>(D9-B9)*E9</f>
        <v>7.5173463157894735</v>
      </c>
      <c r="G9" s="4">
        <f t="shared" ref="G9" si="0">C9/$B$4</f>
        <v>1.2675000000000001</v>
      </c>
      <c r="H9" s="4">
        <f>(C9^2)/$B$4</f>
        <v>6.4262250000000005</v>
      </c>
      <c r="I9" s="4">
        <f t="shared" ref="I9:I12" si="1">G9*$B$5</f>
        <v>0.12675</v>
      </c>
      <c r="J9" s="4">
        <f t="shared" ref="J9:J12" si="2">I9*G9</f>
        <v>0.16065562500000002</v>
      </c>
      <c r="K9" s="4">
        <f t="shared" ref="K9:K12" si="3">G9*(C9+I9)</f>
        <v>6.5868806250000009</v>
      </c>
      <c r="L9" s="3">
        <f t="shared" ref="L9:L12" si="4">K9/F9</f>
        <v>0.87622418181864026</v>
      </c>
    </row>
    <row r="10" spans="1:12" x14ac:dyDescent="0.25">
      <c r="B10" s="4">
        <v>0.58499999999999996</v>
      </c>
      <c r="C10" s="4">
        <v>7.22</v>
      </c>
      <c r="D10" s="4">
        <v>25</v>
      </c>
      <c r="E10" s="4">
        <f>B10/$B$3</f>
        <v>0.61578947368421055</v>
      </c>
      <c r="F10" s="4">
        <f>(D10-B10)*E10</f>
        <v>15.0345</v>
      </c>
      <c r="G10" s="4">
        <f t="shared" ref="G10" si="5">C10/$B$4</f>
        <v>1.8049999999999999</v>
      </c>
      <c r="H10" s="4">
        <f>(C10^2)/$B$4</f>
        <v>13.0321</v>
      </c>
      <c r="I10" s="4">
        <f t="shared" si="1"/>
        <v>0.18049999999999999</v>
      </c>
      <c r="J10" s="4">
        <f t="shared" si="2"/>
        <v>0.32580249999999999</v>
      </c>
      <c r="K10" s="4">
        <f t="shared" si="3"/>
        <v>13.3579025</v>
      </c>
      <c r="L10" s="3">
        <f t="shared" si="4"/>
        <v>0.88848332169343847</v>
      </c>
    </row>
    <row r="11" spans="1:12" x14ac:dyDescent="0.25">
      <c r="B11" s="4">
        <v>1.2</v>
      </c>
      <c r="C11" s="4">
        <v>10.3</v>
      </c>
      <c r="D11" s="4">
        <v>26</v>
      </c>
      <c r="E11" s="4">
        <f>B11/$B$3</f>
        <v>1.263157894736842</v>
      </c>
      <c r="F11" s="4">
        <f>(D11-B11)*E11</f>
        <v>31.326315789473682</v>
      </c>
      <c r="G11" s="4">
        <f t="shared" ref="G11" si="6">C11/$B$4</f>
        <v>2.5750000000000002</v>
      </c>
      <c r="H11" s="4">
        <f>(C11^2)/$B$4</f>
        <v>26.522500000000004</v>
      </c>
      <c r="I11" s="4">
        <f t="shared" si="1"/>
        <v>0.25750000000000001</v>
      </c>
      <c r="J11" s="4">
        <f t="shared" si="2"/>
        <v>0.66306250000000011</v>
      </c>
      <c r="K11" s="4">
        <f t="shared" si="3"/>
        <v>27.185562500000003</v>
      </c>
      <c r="L11" s="3">
        <f t="shared" si="4"/>
        <v>0.86781869539650558</v>
      </c>
    </row>
    <row r="12" spans="1:12" x14ac:dyDescent="0.25">
      <c r="B12" s="4">
        <v>1.46</v>
      </c>
      <c r="C12" s="4">
        <v>11.67</v>
      </c>
      <c r="D12" s="4">
        <v>27</v>
      </c>
      <c r="E12" s="4">
        <f>B12/$B$3</f>
        <v>1.536842105263158</v>
      </c>
      <c r="F12" s="4">
        <f>(D12-B12)*E12</f>
        <v>39.250947368421052</v>
      </c>
      <c r="G12" s="4">
        <f t="shared" ref="G12" si="7">C12/$B$4</f>
        <v>2.9175</v>
      </c>
      <c r="H12" s="4">
        <f>(C12^2)/$B$4</f>
        <v>34.047224999999997</v>
      </c>
      <c r="I12" s="4">
        <f t="shared" si="1"/>
        <v>0.29175000000000001</v>
      </c>
      <c r="J12" s="4">
        <f t="shared" si="2"/>
        <v>0.85118062500000002</v>
      </c>
      <c r="K12" s="4">
        <f>G12*(C12+I12)</f>
        <v>34.898405625000002</v>
      </c>
      <c r="L12" s="3">
        <f t="shared" si="4"/>
        <v>0.88910989325768874</v>
      </c>
    </row>
    <row r="13" spans="1:12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3"/>
    </row>
    <row r="14" spans="1:12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3"/>
    </row>
    <row r="15" spans="1:12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3"/>
    </row>
    <row r="16" spans="1:12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  <c r="L16" s="1"/>
    </row>
    <row r="17" spans="2:12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1"/>
    </row>
    <row r="18" spans="2:12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1"/>
    </row>
    <row r="19" spans="2:12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1"/>
    </row>
    <row r="20" spans="2:12" x14ac:dyDescent="0.25">
      <c r="B20" s="8" t="s">
        <v>15</v>
      </c>
      <c r="C20" s="4"/>
      <c r="D20" s="4"/>
      <c r="E20" s="4"/>
      <c r="F20" s="4"/>
      <c r="G20" s="4"/>
      <c r="H20" s="4"/>
      <c r="I20" s="4"/>
      <c r="J20" s="4"/>
      <c r="K20" s="4"/>
      <c r="L20" s="1"/>
    </row>
    <row r="21" spans="2:12" x14ac:dyDescent="0.25">
      <c r="B21" s="6" t="s">
        <v>16</v>
      </c>
      <c r="C21" s="4"/>
      <c r="D21" s="4"/>
      <c r="E21" s="4"/>
      <c r="F21" s="4"/>
      <c r="G21" s="4"/>
      <c r="H21" s="4"/>
      <c r="I21" s="4"/>
      <c r="J21" s="4"/>
      <c r="K21" s="4"/>
      <c r="L21" s="1"/>
    </row>
    <row r="22" spans="2:12" x14ac:dyDescent="0.25">
      <c r="B22" s="7" t="s">
        <v>17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2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Sievers, Seth (S&amp;T-Student)</dc:creator>
  <cp:lastModifiedBy>Sievers, Seth (S&amp;T-Student)</cp:lastModifiedBy>
  <dcterms:created xsi:type="dcterms:W3CDTF">2025-10-30T00:35:10Z</dcterms:created>
  <dcterms:modified xsi:type="dcterms:W3CDTF">2025-10-31T01:08:13Z</dcterms:modified>
</cp:coreProperties>
</file>