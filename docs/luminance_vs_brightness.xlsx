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eth\Documents\Git\cc-led-driver\docs\"/>
    </mc:Choice>
  </mc:AlternateContent>
  <xr:revisionPtr revIDLastSave="0" documentId="8_{598FB6F4-C35D-45BA-8220-DC7397DDE794}" xr6:coauthVersionLast="47" xr6:coauthVersionMax="47" xr10:uidLastSave="{00000000-0000-0000-0000-000000000000}"/>
  <bookViews>
    <workbookView xWindow="-120" yWindow="-120" windowWidth="38640" windowHeight="21120" xr2:uid="{65CB611B-258C-4E14-B6F5-FEBFC32E204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3" i="1"/>
  <c r="F4" i="1"/>
  <c r="F5" i="1"/>
  <c r="F6" i="1"/>
  <c r="F7" i="1"/>
  <c r="F8" i="1"/>
  <c r="F9" i="1"/>
  <c r="F10" i="1"/>
  <c r="F11" i="1"/>
  <c r="F12" i="1"/>
  <c r="F13" i="1"/>
  <c r="F14" i="1"/>
  <c r="F3" i="1"/>
  <c r="E4" i="1"/>
  <c r="E5" i="1"/>
  <c r="E6" i="1"/>
  <c r="E7" i="1"/>
  <c r="E8" i="1"/>
  <c r="E9" i="1"/>
  <c r="E10" i="1"/>
  <c r="E11" i="1"/>
  <c r="E12" i="1"/>
  <c r="E13" i="1"/>
  <c r="E14" i="1"/>
  <c r="E3" i="1"/>
  <c r="D4" i="1"/>
  <c r="D5" i="1"/>
  <c r="D6" i="1"/>
  <c r="D7" i="1"/>
  <c r="D8" i="1"/>
  <c r="D9" i="1"/>
  <c r="D10" i="1"/>
  <c r="D11" i="1"/>
  <c r="D12" i="1"/>
  <c r="D13" i="1"/>
  <c r="D14" i="1"/>
  <c r="D3" i="1"/>
</calcChain>
</file>

<file path=xl/sharedStrings.xml><?xml version="1.0" encoding="utf-8"?>
<sst xmlns="http://schemas.openxmlformats.org/spreadsheetml/2006/main" count="5" uniqueCount="5">
  <si>
    <t>B</t>
  </si>
  <si>
    <t>L, g=1.5</t>
  </si>
  <si>
    <t>L, g=2</t>
  </si>
  <si>
    <t>L, g=2.2</t>
  </si>
  <si>
    <t>L, g=3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</si>
</sst>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Perceived Brightness vs Luminance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γ=1.5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Sheet1!$C$3:$C$14</c:f>
              <c:numCache>
                <c:formatCode>0.00</c:formatCode>
                <c:ptCount val="12"/>
                <c:pt idx="0">
                  <c:v>3.1622776601683802E-5</c:v>
                </c:pt>
                <c:pt idx="1">
                  <c:v>1.1180339887498949E-2</c:v>
                </c:pt>
                <c:pt idx="2">
                  <c:v>3.1622776601683798E-2</c:v>
                </c:pt>
                <c:pt idx="3">
                  <c:v>8.9442719099991616E-2</c:v>
                </c:pt>
                <c:pt idx="4">
                  <c:v>0.16431676725154978</c:v>
                </c:pt>
                <c:pt idx="5">
                  <c:v>0.25298221281347039</c:v>
                </c:pt>
                <c:pt idx="6">
                  <c:v>0.35355339059327379</c:v>
                </c:pt>
                <c:pt idx="7">
                  <c:v>0.46475800154489</c:v>
                </c:pt>
                <c:pt idx="8">
                  <c:v>0.58566201857385281</c:v>
                </c:pt>
                <c:pt idx="9">
                  <c:v>0.71554175279993271</c:v>
                </c:pt>
                <c:pt idx="10">
                  <c:v>0.85381496824546244</c:v>
                </c:pt>
                <c:pt idx="11">
                  <c:v>1</c:v>
                </c:pt>
              </c:numCache>
            </c:numRef>
          </c:xVal>
          <c:yVal>
            <c:numRef>
              <c:f>Sheet1!$B$3:$B$14</c:f>
              <c:numCache>
                <c:formatCode>0.00</c:formatCode>
                <c:ptCount val="12"/>
                <c:pt idx="0">
                  <c:v>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7-4A5D-A493-2B30396D2C5F}"/>
            </c:ext>
          </c:extLst>
        </c:ser>
        <c:ser>
          <c:idx val="1"/>
          <c:order val="1"/>
          <c:tx>
            <c:v>γ=2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Sheet1!$D$3:$D$14</c:f>
              <c:numCache>
                <c:formatCode>0.00</c:formatCode>
                <c:ptCount val="12"/>
                <c:pt idx="0">
                  <c:v>9.9999999999999995E-7</c:v>
                </c:pt>
                <c:pt idx="1">
                  <c:v>2.5000000000000005E-3</c:v>
                </c:pt>
                <c:pt idx="2">
                  <c:v>1.0000000000000002E-2</c:v>
                </c:pt>
                <c:pt idx="3">
                  <c:v>4.0000000000000008E-2</c:v>
                </c:pt>
                <c:pt idx="4">
                  <c:v>0.09</c:v>
                </c:pt>
                <c:pt idx="5">
                  <c:v>0.16000000000000003</c:v>
                </c:pt>
                <c:pt idx="6">
                  <c:v>0.25</c:v>
                </c:pt>
                <c:pt idx="7">
                  <c:v>0.36</c:v>
                </c:pt>
                <c:pt idx="8">
                  <c:v>0.48999999999999994</c:v>
                </c:pt>
                <c:pt idx="9">
                  <c:v>0.64000000000000012</c:v>
                </c:pt>
                <c:pt idx="10">
                  <c:v>0.81</c:v>
                </c:pt>
                <c:pt idx="11">
                  <c:v>1</c:v>
                </c:pt>
              </c:numCache>
            </c:numRef>
          </c:xVal>
          <c:yVal>
            <c:numRef>
              <c:f>Sheet1!$B$3:$B$14</c:f>
              <c:numCache>
                <c:formatCode>0.00</c:formatCode>
                <c:ptCount val="12"/>
                <c:pt idx="0">
                  <c:v>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7-4A5D-A493-2B30396D2C5F}"/>
            </c:ext>
          </c:extLst>
        </c:ser>
        <c:ser>
          <c:idx val="2"/>
          <c:order val="2"/>
          <c:tx>
            <c:v>γ=2.2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Sheet1!$E$3:$E$14</c:f>
              <c:numCache>
                <c:formatCode>0.00</c:formatCode>
                <c:ptCount val="12"/>
                <c:pt idx="0">
                  <c:v>2.511886431509578E-7</c:v>
                </c:pt>
                <c:pt idx="1">
                  <c:v>1.3732006791326466E-3</c:v>
                </c:pt>
                <c:pt idx="2">
                  <c:v>6.3095734448019303E-3</c:v>
                </c:pt>
                <c:pt idx="3">
                  <c:v>2.899118654710782E-2</c:v>
                </c:pt>
                <c:pt idx="4">
                  <c:v>7.0740277703696022E-2</c:v>
                </c:pt>
                <c:pt idx="5">
                  <c:v>0.13320851318429971</c:v>
                </c:pt>
                <c:pt idx="6">
                  <c:v>0.21763764082403103</c:v>
                </c:pt>
                <c:pt idx="7">
                  <c:v>0.32503696252107628</c:v>
                </c:pt>
                <c:pt idx="8">
                  <c:v>0.45626345839647037</c:v>
                </c:pt>
                <c:pt idx="9">
                  <c:v>0.6120655998656237</c:v>
                </c:pt>
                <c:pt idx="10">
                  <c:v>0.79311017351239121</c:v>
                </c:pt>
                <c:pt idx="11">
                  <c:v>1</c:v>
                </c:pt>
              </c:numCache>
            </c:numRef>
          </c:xVal>
          <c:yVal>
            <c:numRef>
              <c:f>Sheet1!$B$3:$B$14</c:f>
              <c:numCache>
                <c:formatCode>0.00</c:formatCode>
                <c:ptCount val="12"/>
                <c:pt idx="0">
                  <c:v>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07-4A5D-A493-2B30396D2C5F}"/>
            </c:ext>
          </c:extLst>
        </c:ser>
        <c:ser>
          <c:idx val="3"/>
          <c:order val="3"/>
          <c:tx>
            <c:v>γ=3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Sheet1!$F$3:$F$14</c:f>
              <c:numCache>
                <c:formatCode>0.00</c:formatCode>
                <c:ptCount val="12"/>
                <c:pt idx="0">
                  <c:v>1.0000000000000001E-9</c:v>
                </c:pt>
                <c:pt idx="1">
                  <c:v>1.2500000000000003E-4</c:v>
                </c:pt>
                <c:pt idx="2">
                  <c:v>1.0000000000000002E-3</c:v>
                </c:pt>
                <c:pt idx="3">
                  <c:v>8.0000000000000019E-3</c:v>
                </c:pt>
                <c:pt idx="4">
                  <c:v>2.7E-2</c:v>
                </c:pt>
                <c:pt idx="5">
                  <c:v>6.4000000000000015E-2</c:v>
                </c:pt>
                <c:pt idx="6">
                  <c:v>0.125</c:v>
                </c:pt>
                <c:pt idx="7">
                  <c:v>0.216</c:v>
                </c:pt>
                <c:pt idx="8">
                  <c:v>0.34299999999999992</c:v>
                </c:pt>
                <c:pt idx="9">
                  <c:v>0.51200000000000012</c:v>
                </c:pt>
                <c:pt idx="10">
                  <c:v>0.72900000000000009</c:v>
                </c:pt>
                <c:pt idx="11">
                  <c:v>1</c:v>
                </c:pt>
              </c:numCache>
            </c:numRef>
          </c:xVal>
          <c:yVal>
            <c:numRef>
              <c:f>Sheet1!$B$3:$B$14</c:f>
              <c:numCache>
                <c:formatCode>0.00</c:formatCode>
                <c:ptCount val="12"/>
                <c:pt idx="0">
                  <c:v>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07-4A5D-A493-2B30396D2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721792"/>
        <c:axId val="776840528"/>
      </c:scatterChart>
      <c:valAx>
        <c:axId val="3097217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Luminance (Light Power)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840528"/>
        <c:crosses val="autoZero"/>
        <c:crossBetween val="midCat"/>
      </c:valAx>
      <c:valAx>
        <c:axId val="7768405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Perceived Brightness</a:t>
                </a:r>
              </a:p>
            </c:rich>
          </c:tx>
          <c:layout>
            <c:manualLayout>
              <c:xMode val="edge"/>
              <c:yMode val="edge"/>
              <c:x val="2.1352313167259787E-2"/>
              <c:y val="0.3263148735716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2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1062758614248"/>
          <c:y val="0.48898317732839708"/>
          <c:w val="0.12774639838836843"/>
          <c:h val="0.2961433114457128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Luminance vs Perceived Brightness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γ=1.5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Sheet1!$B$3:$B$14</c:f>
              <c:numCache>
                <c:formatCode>0.00</c:formatCode>
                <c:ptCount val="12"/>
                <c:pt idx="0">
                  <c:v>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xVal>
          <c:yVal>
            <c:numRef>
              <c:f>Sheet1!$C$3:$C$14</c:f>
              <c:numCache>
                <c:formatCode>0.00</c:formatCode>
                <c:ptCount val="12"/>
                <c:pt idx="0">
                  <c:v>3.1622776601683802E-5</c:v>
                </c:pt>
                <c:pt idx="1">
                  <c:v>1.1180339887498949E-2</c:v>
                </c:pt>
                <c:pt idx="2">
                  <c:v>3.1622776601683798E-2</c:v>
                </c:pt>
                <c:pt idx="3">
                  <c:v>8.9442719099991616E-2</c:v>
                </c:pt>
                <c:pt idx="4">
                  <c:v>0.16431676725154978</c:v>
                </c:pt>
                <c:pt idx="5">
                  <c:v>0.25298221281347039</c:v>
                </c:pt>
                <c:pt idx="6">
                  <c:v>0.35355339059327379</c:v>
                </c:pt>
                <c:pt idx="7">
                  <c:v>0.46475800154489</c:v>
                </c:pt>
                <c:pt idx="8">
                  <c:v>0.58566201857385281</c:v>
                </c:pt>
                <c:pt idx="9">
                  <c:v>0.71554175279993271</c:v>
                </c:pt>
                <c:pt idx="10">
                  <c:v>0.85381496824546244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36-4917-88DA-C5EC88500CB1}"/>
            </c:ext>
          </c:extLst>
        </c:ser>
        <c:ser>
          <c:idx val="1"/>
          <c:order val="1"/>
          <c:tx>
            <c:v>γ=2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Sheet1!$B$3:$B$14</c:f>
              <c:numCache>
                <c:formatCode>0.00</c:formatCode>
                <c:ptCount val="12"/>
                <c:pt idx="0">
                  <c:v>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xVal>
          <c:yVal>
            <c:numRef>
              <c:f>Sheet1!$D$3:$D$14</c:f>
              <c:numCache>
                <c:formatCode>0.00</c:formatCode>
                <c:ptCount val="12"/>
                <c:pt idx="0">
                  <c:v>9.9999999999999995E-7</c:v>
                </c:pt>
                <c:pt idx="1">
                  <c:v>2.5000000000000005E-3</c:v>
                </c:pt>
                <c:pt idx="2">
                  <c:v>1.0000000000000002E-2</c:v>
                </c:pt>
                <c:pt idx="3">
                  <c:v>4.0000000000000008E-2</c:v>
                </c:pt>
                <c:pt idx="4">
                  <c:v>0.09</c:v>
                </c:pt>
                <c:pt idx="5">
                  <c:v>0.16000000000000003</c:v>
                </c:pt>
                <c:pt idx="6">
                  <c:v>0.25</c:v>
                </c:pt>
                <c:pt idx="7">
                  <c:v>0.36</c:v>
                </c:pt>
                <c:pt idx="8">
                  <c:v>0.48999999999999994</c:v>
                </c:pt>
                <c:pt idx="9">
                  <c:v>0.64000000000000012</c:v>
                </c:pt>
                <c:pt idx="10">
                  <c:v>0.81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36-4917-88DA-C5EC88500CB1}"/>
            </c:ext>
          </c:extLst>
        </c:ser>
        <c:ser>
          <c:idx val="2"/>
          <c:order val="2"/>
          <c:tx>
            <c:v>γ=2.2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Sheet1!$B$3:$B$14</c:f>
              <c:numCache>
                <c:formatCode>0.00</c:formatCode>
                <c:ptCount val="12"/>
                <c:pt idx="0">
                  <c:v>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xVal>
          <c:yVal>
            <c:numRef>
              <c:f>Sheet1!$E$3:$E$14</c:f>
              <c:numCache>
                <c:formatCode>0.00</c:formatCode>
                <c:ptCount val="12"/>
                <c:pt idx="0">
                  <c:v>2.511886431509578E-7</c:v>
                </c:pt>
                <c:pt idx="1">
                  <c:v>1.3732006791326466E-3</c:v>
                </c:pt>
                <c:pt idx="2">
                  <c:v>6.3095734448019303E-3</c:v>
                </c:pt>
                <c:pt idx="3">
                  <c:v>2.899118654710782E-2</c:v>
                </c:pt>
                <c:pt idx="4">
                  <c:v>7.0740277703696022E-2</c:v>
                </c:pt>
                <c:pt idx="5">
                  <c:v>0.13320851318429971</c:v>
                </c:pt>
                <c:pt idx="6">
                  <c:v>0.21763764082403103</c:v>
                </c:pt>
                <c:pt idx="7">
                  <c:v>0.32503696252107628</c:v>
                </c:pt>
                <c:pt idx="8">
                  <c:v>0.45626345839647037</c:v>
                </c:pt>
                <c:pt idx="9">
                  <c:v>0.6120655998656237</c:v>
                </c:pt>
                <c:pt idx="10">
                  <c:v>0.79311017351239121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36-4917-88DA-C5EC88500CB1}"/>
            </c:ext>
          </c:extLst>
        </c:ser>
        <c:ser>
          <c:idx val="3"/>
          <c:order val="3"/>
          <c:tx>
            <c:v>γ=3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Sheet1!$B$3:$B$14</c:f>
              <c:numCache>
                <c:formatCode>0.00</c:formatCode>
                <c:ptCount val="12"/>
                <c:pt idx="0">
                  <c:v>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xVal>
          <c:yVal>
            <c:numRef>
              <c:f>Sheet1!$F$3:$F$14</c:f>
              <c:numCache>
                <c:formatCode>0.00</c:formatCode>
                <c:ptCount val="12"/>
                <c:pt idx="0">
                  <c:v>1.0000000000000001E-9</c:v>
                </c:pt>
                <c:pt idx="1">
                  <c:v>1.2500000000000003E-4</c:v>
                </c:pt>
                <c:pt idx="2">
                  <c:v>1.0000000000000002E-3</c:v>
                </c:pt>
                <c:pt idx="3">
                  <c:v>8.0000000000000019E-3</c:v>
                </c:pt>
                <c:pt idx="4">
                  <c:v>2.7E-2</c:v>
                </c:pt>
                <c:pt idx="5">
                  <c:v>6.4000000000000015E-2</c:v>
                </c:pt>
                <c:pt idx="6">
                  <c:v>0.125</c:v>
                </c:pt>
                <c:pt idx="7">
                  <c:v>0.216</c:v>
                </c:pt>
                <c:pt idx="8">
                  <c:v>0.34299999999999992</c:v>
                </c:pt>
                <c:pt idx="9">
                  <c:v>0.51200000000000012</c:v>
                </c:pt>
                <c:pt idx="10">
                  <c:v>0.72900000000000009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36-4917-88DA-C5EC88500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721792"/>
        <c:axId val="776840528"/>
      </c:scatterChart>
      <c:valAx>
        <c:axId val="3097217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Desired</a:t>
                </a:r>
                <a:r>
                  <a:rPr lang="en-US" baseline="0"/>
                  <a:t> Perceived Brightness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840528"/>
        <c:crosses val="autoZero"/>
        <c:crossBetween val="midCat"/>
      </c:valAx>
      <c:valAx>
        <c:axId val="7768405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Luminance</a:t>
                </a:r>
              </a:p>
            </c:rich>
          </c:tx>
          <c:layout>
            <c:manualLayout>
              <c:xMode val="edge"/>
              <c:yMode val="edge"/>
              <c:x val="2.1352313167259787E-2"/>
              <c:y val="0.3263148735716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2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1062758614248"/>
          <c:y val="0.48898317732839708"/>
          <c:w val="0.12774639838836843"/>
          <c:h val="0.2961433114457128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0</xdr:row>
      <xdr:rowOff>176212</xdr:rowOff>
    </xdr:from>
    <xdr:to>
      <xdr:col>15</xdr:col>
      <xdr:colOff>409575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5789A-B9B6-AD6B-7488-06CCC4B5D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33131</xdr:colOff>
      <xdr:row>19</xdr:row>
      <xdr:rowOff>140804</xdr:rowOff>
    </xdr:from>
    <xdr:to>
      <xdr:col>15</xdr:col>
      <xdr:colOff>512694</xdr:colOff>
      <xdr:row>37</xdr:row>
      <xdr:rowOff>21742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85A26D-CD23-4025-9403-A78D82645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DCA2-2E74-445B-9C06-CC6B6917126F}">
  <dimension ref="B2:F14"/>
  <sheetViews>
    <sheetView tabSelected="1" topLeftCell="A7" zoomScale="115" zoomScaleNormal="115" workbookViewId="0">
      <selection activeCell="R30" sqref="R30:R31"/>
    </sheetView>
  </sheetViews>
  <sheetFormatPr defaultRowHeight="15" x14ac:dyDescent="0.25"/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2">
        <v>1E-3</v>
      </c>
      <c r="C3" s="2">
        <f>B3^1.5</f>
        <v>3.1622776601683802E-5</v>
      </c>
      <c r="D3" s="2">
        <f>B3^2</f>
        <v>9.9999999999999995E-7</v>
      </c>
      <c r="E3" s="2">
        <f>B3^2.2</f>
        <v>2.511886431509578E-7</v>
      </c>
      <c r="F3" s="2">
        <f>B3^3</f>
        <v>1.0000000000000001E-9</v>
      </c>
    </row>
    <row r="4" spans="2:6" x14ac:dyDescent="0.25">
      <c r="B4" s="2">
        <v>0.05</v>
      </c>
      <c r="C4" s="2">
        <f t="shared" ref="C4:C14" si="0">B4^1.5</f>
        <v>1.1180339887498949E-2</v>
      </c>
      <c r="D4" s="2">
        <f t="shared" ref="D4:D14" si="1">B4^2</f>
        <v>2.5000000000000005E-3</v>
      </c>
      <c r="E4" s="2">
        <f t="shared" ref="E4:E14" si="2">B4^2.2</f>
        <v>1.3732006791326466E-3</v>
      </c>
      <c r="F4" s="2">
        <f t="shared" ref="F4:F14" si="3">B4^3</f>
        <v>1.2500000000000003E-4</v>
      </c>
    </row>
    <row r="5" spans="2:6" x14ac:dyDescent="0.25">
      <c r="B5" s="2">
        <v>0.1</v>
      </c>
      <c r="C5" s="2">
        <f t="shared" si="0"/>
        <v>3.1622776601683798E-2</v>
      </c>
      <c r="D5" s="2">
        <f t="shared" si="1"/>
        <v>1.0000000000000002E-2</v>
      </c>
      <c r="E5" s="2">
        <f t="shared" si="2"/>
        <v>6.3095734448019303E-3</v>
      </c>
      <c r="F5" s="2">
        <f t="shared" si="3"/>
        <v>1.0000000000000002E-3</v>
      </c>
    </row>
    <row r="6" spans="2:6" x14ac:dyDescent="0.25">
      <c r="B6" s="2">
        <v>0.2</v>
      </c>
      <c r="C6" s="2">
        <f t="shared" si="0"/>
        <v>8.9442719099991616E-2</v>
      </c>
      <c r="D6" s="2">
        <f t="shared" si="1"/>
        <v>4.0000000000000008E-2</v>
      </c>
      <c r="E6" s="2">
        <f t="shared" si="2"/>
        <v>2.899118654710782E-2</v>
      </c>
      <c r="F6" s="2">
        <f t="shared" si="3"/>
        <v>8.0000000000000019E-3</v>
      </c>
    </row>
    <row r="7" spans="2:6" x14ac:dyDescent="0.25">
      <c r="B7" s="2">
        <v>0.3</v>
      </c>
      <c r="C7" s="2">
        <f t="shared" si="0"/>
        <v>0.16431676725154978</v>
      </c>
      <c r="D7" s="2">
        <f t="shared" si="1"/>
        <v>0.09</v>
      </c>
      <c r="E7" s="2">
        <f t="shared" si="2"/>
        <v>7.0740277703696022E-2</v>
      </c>
      <c r="F7" s="2">
        <f t="shared" si="3"/>
        <v>2.7E-2</v>
      </c>
    </row>
    <row r="8" spans="2:6" x14ac:dyDescent="0.25">
      <c r="B8" s="2">
        <v>0.4</v>
      </c>
      <c r="C8" s="2">
        <f t="shared" si="0"/>
        <v>0.25298221281347039</v>
      </c>
      <c r="D8" s="2">
        <f t="shared" si="1"/>
        <v>0.16000000000000003</v>
      </c>
      <c r="E8" s="2">
        <f t="shared" si="2"/>
        <v>0.13320851318429971</v>
      </c>
      <c r="F8" s="2">
        <f t="shared" si="3"/>
        <v>6.4000000000000015E-2</v>
      </c>
    </row>
    <row r="9" spans="2:6" x14ac:dyDescent="0.25">
      <c r="B9" s="2">
        <v>0.5</v>
      </c>
      <c r="C9" s="2">
        <f t="shared" si="0"/>
        <v>0.35355339059327379</v>
      </c>
      <c r="D9" s="2">
        <f t="shared" si="1"/>
        <v>0.25</v>
      </c>
      <c r="E9" s="2">
        <f t="shared" si="2"/>
        <v>0.21763764082403103</v>
      </c>
      <c r="F9" s="2">
        <f t="shared" si="3"/>
        <v>0.125</v>
      </c>
    </row>
    <row r="10" spans="2:6" x14ac:dyDescent="0.25">
      <c r="B10" s="2">
        <v>0.6</v>
      </c>
      <c r="C10" s="2">
        <f t="shared" si="0"/>
        <v>0.46475800154489</v>
      </c>
      <c r="D10" s="2">
        <f t="shared" si="1"/>
        <v>0.36</v>
      </c>
      <c r="E10" s="2">
        <f t="shared" si="2"/>
        <v>0.32503696252107628</v>
      </c>
      <c r="F10" s="2">
        <f t="shared" si="3"/>
        <v>0.216</v>
      </c>
    </row>
    <row r="11" spans="2:6" x14ac:dyDescent="0.25">
      <c r="B11" s="2">
        <v>0.7</v>
      </c>
      <c r="C11" s="2">
        <f t="shared" si="0"/>
        <v>0.58566201857385281</v>
      </c>
      <c r="D11" s="2">
        <f t="shared" si="1"/>
        <v>0.48999999999999994</v>
      </c>
      <c r="E11" s="2">
        <f t="shared" si="2"/>
        <v>0.45626345839647037</v>
      </c>
      <c r="F11" s="2">
        <f t="shared" si="3"/>
        <v>0.34299999999999992</v>
      </c>
    </row>
    <row r="12" spans="2:6" x14ac:dyDescent="0.25">
      <c r="B12" s="2">
        <v>0.8</v>
      </c>
      <c r="C12" s="2">
        <f t="shared" si="0"/>
        <v>0.71554175279993271</v>
      </c>
      <c r="D12" s="2">
        <f t="shared" si="1"/>
        <v>0.64000000000000012</v>
      </c>
      <c r="E12" s="2">
        <f t="shared" si="2"/>
        <v>0.6120655998656237</v>
      </c>
      <c r="F12" s="2">
        <f t="shared" si="3"/>
        <v>0.51200000000000012</v>
      </c>
    </row>
    <row r="13" spans="2:6" x14ac:dyDescent="0.25">
      <c r="B13" s="2">
        <v>0.9</v>
      </c>
      <c r="C13" s="2">
        <f t="shared" si="0"/>
        <v>0.85381496824546244</v>
      </c>
      <c r="D13" s="2">
        <f t="shared" si="1"/>
        <v>0.81</v>
      </c>
      <c r="E13" s="2">
        <f t="shared" si="2"/>
        <v>0.79311017351239121</v>
      </c>
      <c r="F13" s="2">
        <f t="shared" si="3"/>
        <v>0.72900000000000009</v>
      </c>
    </row>
    <row r="14" spans="2:6" x14ac:dyDescent="0.25">
      <c r="B14" s="2">
        <v>1</v>
      </c>
      <c r="C14" s="2">
        <f t="shared" si="0"/>
        <v>1</v>
      </c>
      <c r="D14" s="2">
        <f t="shared" si="1"/>
        <v>1</v>
      </c>
      <c r="E14" s="2">
        <f t="shared" si="2"/>
        <v>1</v>
      </c>
      <c r="F14" s="2">
        <f t="shared" si="3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Sievers, Seth (S&amp;T-Student)</dc:creator>
  <cp:lastModifiedBy>Sievers, Seth (S&amp;T-Student)</cp:lastModifiedBy>
  <dcterms:created xsi:type="dcterms:W3CDTF">2025-09-11T00:20:12Z</dcterms:created>
  <dcterms:modified xsi:type="dcterms:W3CDTF">2025-09-14T14:11:23Z</dcterms:modified>
</cp:coreProperties>
</file>